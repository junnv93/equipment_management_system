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quipment_management_system\"/>
    </mc:Choice>
  </mc:AlternateContent>
  <xr:revisionPtr revIDLastSave="0" documentId="13_ncr:1_{F48AF825-590B-4563-B254-E905D984226F}" xr6:coauthVersionLast="47" xr6:coauthVersionMax="47" xr10:uidLastSave="{00000000-0000-0000-0000-000000000000}"/>
  <bookViews>
    <workbookView xWindow="38280" yWindow="7530" windowWidth="29040" windowHeight="15720" xr2:uid="{00000000-000D-0000-FFFF-FFFF00000000}"/>
  </bookViews>
  <sheets>
    <sheet name="시험설비 관리대장" sheetId="10" r:id="rId1"/>
    <sheet name="SAR list" sheetId="5" state="hidden" r:id="rId2"/>
  </sheets>
  <definedNames>
    <definedName name="_xlnm._FilterDatabase" localSheetId="1">'SAR list'!$B$1:$L$52</definedName>
    <definedName name="_xlnm._FilterDatabase" localSheetId="0" hidden="1">'시험설비 관리대장'!$A$2:$Q$172</definedName>
    <definedName name="_xlnm.Print_Area" localSheetId="0">'시험설비 관리대장'!$A$1:$Q$172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10" l="1"/>
  <c r="I171" i="10"/>
  <c r="I170" i="10"/>
  <c r="I119" i="10"/>
  <c r="I169" i="10"/>
  <c r="I71" i="10"/>
  <c r="I72" i="10"/>
  <c r="I73" i="10"/>
  <c r="I166" i="10"/>
  <c r="I164" i="10"/>
  <c r="I161" i="10"/>
  <c r="I159" i="10" l="1"/>
  <c r="I140" i="10"/>
  <c r="I141" i="10"/>
  <c r="I75" i="10"/>
  <c r="I74" i="10"/>
  <c r="I11" i="10"/>
  <c r="I7" i="10"/>
  <c r="I8" i="10"/>
  <c r="I156" i="10"/>
  <c r="I155" i="10"/>
  <c r="I153" i="10"/>
  <c r="I152" i="10"/>
  <c r="I150" i="10"/>
  <c r="I143" i="10" l="1"/>
  <c r="I144" i="10"/>
  <c r="I145" i="10"/>
  <c r="I142" i="10"/>
  <c r="I121" i="10" l="1"/>
  <c r="I120" i="10"/>
  <c r="I118" i="10"/>
  <c r="I116" i="10"/>
  <c r="I115" i="10"/>
  <c r="I117" i="10" l="1"/>
  <c r="I139" i="10" l="1"/>
  <c r="I133" i="10"/>
  <c r="I134" i="10"/>
  <c r="I135" i="10"/>
  <c r="I136" i="10"/>
  <c r="I132" i="10"/>
  <c r="I129" i="10"/>
  <c r="I130" i="10"/>
  <c r="I131" i="10"/>
  <c r="I128" i="10"/>
  <c r="I123" i="10"/>
  <c r="I124" i="10"/>
  <c r="I125" i="10"/>
  <c r="I126" i="10"/>
  <c r="I127" i="10"/>
  <c r="I122" i="10"/>
  <c r="I110" i="10"/>
  <c r="I106" i="10"/>
  <c r="I104" i="10"/>
  <c r="I97" i="10"/>
  <c r="I98" i="10"/>
  <c r="I99" i="10"/>
  <c r="I100" i="10"/>
  <c r="I101" i="10"/>
  <c r="I102" i="10"/>
  <c r="I103" i="10"/>
  <c r="I96" i="10"/>
  <c r="I92" i="10"/>
  <c r="I91" i="10"/>
  <c r="I86" i="10"/>
  <c r="I87" i="10"/>
  <c r="I88" i="10"/>
  <c r="I89" i="10"/>
  <c r="I85" i="10"/>
  <c r="I84" i="10" l="1"/>
  <c r="I83" i="10"/>
  <c r="I77" i="10"/>
  <c r="I78" i="10"/>
  <c r="I79" i="10"/>
  <c r="I80" i="10"/>
  <c r="I81" i="10"/>
  <c r="I76" i="10"/>
  <c r="I62" i="10"/>
  <c r="I65" i="10"/>
  <c r="I66" i="10"/>
  <c r="I67" i="10"/>
  <c r="I68" i="10"/>
  <c r="I69" i="10"/>
  <c r="I70" i="10"/>
  <c r="I59" i="10"/>
  <c r="I57" i="10"/>
  <c r="I55" i="10"/>
  <c r="I54" i="10"/>
  <c r="I53" i="10"/>
  <c r="I49" i="10"/>
  <c r="I41" i="10"/>
  <c r="I42" i="10"/>
  <c r="I43" i="10"/>
  <c r="I44" i="10"/>
  <c r="I45" i="10"/>
  <c r="I46" i="10"/>
  <c r="I40" i="10"/>
  <c r="I29" i="10"/>
  <c r="I30" i="10"/>
  <c r="I31" i="10"/>
  <c r="I32" i="10"/>
  <c r="I33" i="10"/>
  <c r="I34" i="10"/>
  <c r="I26" i="10"/>
  <c r="I27" i="10"/>
  <c r="I28" i="10"/>
  <c r="I25" i="10"/>
  <c r="I22" i="10"/>
  <c r="I23" i="10"/>
  <c r="I21" i="10"/>
  <c r="I13" i="10"/>
  <c r="I14" i="10"/>
  <c r="I15" i="10"/>
  <c r="I16" i="10"/>
  <c r="I17" i="10"/>
  <c r="I10" i="10"/>
  <c r="I6" i="10"/>
  <c r="I4" i="10"/>
  <c r="I5" i="10"/>
  <c r="I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tc={064BE313-4AD8-4E42-9659-1E629B11A8B7}</author>
  </authors>
  <commentList>
    <comment ref="M15" authorId="0" shapeId="0" xr:uid="{064BE313-4AD8-4E42-9659-1E629B11A8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교정필증에 기기번호 틀림(P16271812)</t>
      </text>
    </comment>
  </commentList>
</comments>
</file>

<file path=xl/sharedStrings.xml><?xml version="1.0" encoding="utf-8"?>
<sst xmlns="http://schemas.openxmlformats.org/spreadsheetml/2006/main" count="2664" uniqueCount="858">
  <si>
    <t>AGILENT</t>
  </si>
  <si>
    <t>HCT</t>
  </si>
  <si>
    <t>EME</t>
  </si>
  <si>
    <t>SUW-S0026</t>
  </si>
  <si>
    <t>Directional Coupler</t>
  </si>
  <si>
    <t>Digital Multimeter</t>
  </si>
  <si>
    <t>FLUKE</t>
  </si>
  <si>
    <t>17B</t>
  </si>
  <si>
    <t>Dipole Antenna</t>
  </si>
  <si>
    <t>Temp and Humidity recorder</t>
  </si>
  <si>
    <t>LUTRON</t>
  </si>
  <si>
    <t>MHB-382SD</t>
  </si>
  <si>
    <t>SPEAG</t>
  </si>
  <si>
    <t>D2100V2</t>
  </si>
  <si>
    <t>1037</t>
  </si>
  <si>
    <t>SUW-S0020</t>
  </si>
  <si>
    <t>Head &amp; Body 2100 MHz</t>
  </si>
  <si>
    <t>Thermometer</t>
  </si>
  <si>
    <t>LKM</t>
  </si>
  <si>
    <t>DTM3000</t>
  </si>
  <si>
    <t>3424</t>
  </si>
  <si>
    <t>SUW-S0025</t>
  </si>
  <si>
    <t>Signal Generator</t>
  </si>
  <si>
    <t>100KHz ~ 6GHz</t>
  </si>
  <si>
    <t>D1750V2</t>
  </si>
  <si>
    <t>1125</t>
  </si>
  <si>
    <t>SUW-S0017</t>
  </si>
  <si>
    <t>Head &amp; Body 1750 MHz</t>
  </si>
  <si>
    <t>Dasy52</t>
  </si>
  <si>
    <t>Dasy52 SAR System</t>
  </si>
  <si>
    <t>F14/5T5ZB1/A/01</t>
  </si>
  <si>
    <t>SUW-S0037</t>
  </si>
  <si>
    <t>Attenuator</t>
  </si>
  <si>
    <t>N5181A</t>
  </si>
  <si>
    <t>MY50145882</t>
  </si>
  <si>
    <t>SUW-S0001</t>
  </si>
  <si>
    <t>28050366WS</t>
  </si>
  <si>
    <t>SUW-S0036</t>
  </si>
  <si>
    <t>Data Acquisition System</t>
  </si>
  <si>
    <t>DAE4</t>
  </si>
  <si>
    <t>1447</t>
  </si>
  <si>
    <t>SUW-S0030</t>
  </si>
  <si>
    <t xml:space="preserve">-100 TO +300Mv </t>
  </si>
  <si>
    <t>D750V3</t>
  </si>
  <si>
    <t>1122</t>
  </si>
  <si>
    <t>SUW-S0015</t>
  </si>
  <si>
    <t>Head &amp; Body 750 MHz</t>
  </si>
  <si>
    <t>D5GHzV2</t>
  </si>
  <si>
    <t>1184</t>
  </si>
  <si>
    <t>SUW-S0022</t>
  </si>
  <si>
    <t>Head &amp; Body 2450 MHz</t>
  </si>
  <si>
    <t>E-field probe</t>
  </si>
  <si>
    <t>EX3DV4</t>
  </si>
  <si>
    <t>7313</t>
  </si>
  <si>
    <t>SUW-S0031</t>
  </si>
  <si>
    <t>778D</t>
  </si>
  <si>
    <t>MY52180432</t>
  </si>
  <si>
    <t>SUW-S0009</t>
  </si>
  <si>
    <t>2~18GHz</t>
  </si>
  <si>
    <t>Low Pass Filter</t>
  </si>
  <si>
    <t>FILTRON</t>
  </si>
  <si>
    <t xml:space="preserve">L14012FL </t>
  </si>
  <si>
    <t>1410003S</t>
  </si>
  <si>
    <t>SUW-S0007</t>
  </si>
  <si>
    <t>~3GHz</t>
  </si>
  <si>
    <t>Wideband Radio Communications Tester</t>
  </si>
  <si>
    <t>ROHDE &amp; SCHWARZ</t>
  </si>
  <si>
    <t>CMW500</t>
  </si>
  <si>
    <t>772D</t>
  </si>
  <si>
    <t>MY52180193</t>
  </si>
  <si>
    <t>SUW-S0010</t>
  </si>
  <si>
    <t>100M~2GHz</t>
  </si>
  <si>
    <t>150313</t>
  </si>
  <si>
    <t>SUW-S0011</t>
  </si>
  <si>
    <t>SUW-S0027</t>
  </si>
  <si>
    <t>1494</t>
  </si>
  <si>
    <t>SUW-S0029</t>
  </si>
  <si>
    <t>8491B/010</t>
  </si>
  <si>
    <t>MY39269315</t>
  </si>
  <si>
    <t>SUW-S0003</t>
  </si>
  <si>
    <t>10dB</t>
  </si>
  <si>
    <t>8491B/003</t>
  </si>
  <si>
    <t>MY39269292</t>
  </si>
  <si>
    <t>SUW-S0002</t>
  </si>
  <si>
    <t xml:space="preserve">3dB </t>
  </si>
  <si>
    <t>Power Sensor</t>
  </si>
  <si>
    <t xml:space="preserve">U2000A </t>
  </si>
  <si>
    <t>MY54260007</t>
  </si>
  <si>
    <t>SUW-S0014</t>
  </si>
  <si>
    <t>10MHz ~ 18GHz</t>
  </si>
  <si>
    <t>D1950V3</t>
  </si>
  <si>
    <t>1157</t>
  </si>
  <si>
    <t>SUW-S0019</t>
  </si>
  <si>
    <t>Head &amp; Body 1950 MHz</t>
  </si>
  <si>
    <t>150314</t>
  </si>
  <si>
    <t>SUW-S0012</t>
  </si>
  <si>
    <t>Amplifier</t>
  </si>
  <si>
    <t>EXODUS</t>
  </si>
  <si>
    <t>AMP2027</t>
  </si>
  <si>
    <t>1410025-_x000D_
AMP2027-10003</t>
  </si>
  <si>
    <t>SUW-S0005</t>
  </si>
  <si>
    <t>100M~6GHz</t>
  </si>
  <si>
    <t>D835V2</t>
  </si>
  <si>
    <t>4d174</t>
  </si>
  <si>
    <t>SUW-S0016</t>
  </si>
  <si>
    <t>Head &amp; Body 835 MHz</t>
  </si>
  <si>
    <t>DIELECTRIC PROBES</t>
  </si>
  <si>
    <t>DAK-3.5 Probe</t>
  </si>
  <si>
    <t>1196</t>
  </si>
  <si>
    <t>SUW-S0024</t>
  </si>
  <si>
    <t>MICROLAB</t>
  </si>
  <si>
    <t xml:space="preserve">LA-60N </t>
  </si>
  <si>
    <t>03942</t>
  </si>
  <si>
    <t>SUW-S0008</t>
  </si>
  <si>
    <t>~6GHz</t>
  </si>
  <si>
    <t>D2450V2</t>
  </si>
  <si>
    <t>939</t>
  </si>
  <si>
    <t>SUW-S0021</t>
  </si>
  <si>
    <t>F14/5VR2C1/A/01</t>
  </si>
  <si>
    <t>SUW-S0038</t>
  </si>
  <si>
    <t>D1900V2</t>
  </si>
  <si>
    <t>5d190</t>
  </si>
  <si>
    <t>SUW-S0018</t>
  </si>
  <si>
    <t>Head &amp; Body 1900 MHz</t>
  </si>
  <si>
    <t>8491B/020</t>
  </si>
  <si>
    <t>MY39269298</t>
  </si>
  <si>
    <t>SUW-S0004</t>
  </si>
  <si>
    <t xml:space="preserve">20dB </t>
  </si>
  <si>
    <t>27770592WS</t>
  </si>
  <si>
    <t>SUW-S0035</t>
  </si>
  <si>
    <t>7314</t>
  </si>
  <si>
    <t>SUW-S0032</t>
  </si>
  <si>
    <t>Shield Room</t>
  </si>
  <si>
    <t>SUW-S0028</t>
  </si>
  <si>
    <t>AH.50215</t>
  </si>
  <si>
    <t>SUW-S0033</t>
  </si>
  <si>
    <t>NETWORK ANALYZER</t>
  </si>
  <si>
    <t>E5071C</t>
  </si>
  <si>
    <t>MY46522054</t>
  </si>
  <si>
    <t>SUW-S0023</t>
  </si>
  <si>
    <t>MY54260010</t>
  </si>
  <si>
    <t>SUW-S0013</t>
  </si>
  <si>
    <t xml:space="preserve">LA-15N </t>
  </si>
  <si>
    <t>03943</t>
  </si>
  <si>
    <t>SUW-S0006</t>
  </si>
  <si>
    <t>~1.5GHz</t>
  </si>
  <si>
    <t>AH.50213</t>
  </si>
  <si>
    <t>SUW-S0034</t>
  </si>
  <si>
    <t>4d194</t>
  </si>
  <si>
    <t>SUW-S0039</t>
  </si>
  <si>
    <t>D1800V2</t>
  </si>
  <si>
    <t>2d204</t>
  </si>
  <si>
    <t>SUW-S0040</t>
  </si>
  <si>
    <t>Head &amp; Body 1800 MHz</t>
  </si>
  <si>
    <t>5d199</t>
  </si>
  <si>
    <t>SUW-S0041</t>
  </si>
  <si>
    <t>960</t>
  </si>
  <si>
    <t>SUW-S0042</t>
  </si>
  <si>
    <t>1209</t>
  </si>
  <si>
    <t>SUW-S0044</t>
  </si>
  <si>
    <t>Head &amp; Body 5GHz</t>
  </si>
  <si>
    <t>D2600V2</t>
  </si>
  <si>
    <t>1097</t>
  </si>
  <si>
    <t>SUW-S0043</t>
  </si>
  <si>
    <t>Head &amp; Body 2600 MHz</t>
  </si>
  <si>
    <t>SUW-S0045</t>
  </si>
  <si>
    <t>7376</t>
  </si>
  <si>
    <t>SUW-S0046</t>
  </si>
  <si>
    <t>7330</t>
  </si>
  <si>
    <t>SUW-S0047</t>
  </si>
  <si>
    <t>F14/5W9FA1/A/01</t>
  </si>
  <si>
    <t>SUW-S0048</t>
  </si>
  <si>
    <t>AH.91478</t>
  </si>
  <si>
    <t>SUW-S0049</t>
  </si>
  <si>
    <t>AH.91463</t>
  </si>
  <si>
    <t>SUW-S0050</t>
  </si>
  <si>
    <t>Wireless communications test set</t>
  </si>
  <si>
    <t>E5515C</t>
  </si>
  <si>
    <t>MY50260520</t>
  </si>
  <si>
    <t>SUW-S0051</t>
  </si>
  <si>
    <r>
      <rPr>
        <sz val="10"/>
        <color theme="1"/>
        <rFont val="맑은 고딕"/>
        <family val="2"/>
        <charset val="129"/>
      </rPr>
      <t>−</t>
    </r>
    <r>
      <rPr>
        <sz val="10"/>
        <color theme="1"/>
        <rFont val="Arial"/>
        <family val="2"/>
      </rPr>
      <t>200 ~ 820°C</t>
    </r>
  </si>
  <si>
    <t>장비명</t>
  </si>
  <si>
    <t>제조사</t>
  </si>
  <si>
    <t>모델명</t>
  </si>
  <si>
    <t>일련번호</t>
  </si>
  <si>
    <t>관리번호</t>
  </si>
  <si>
    <t>N/A</t>
  </si>
  <si>
    <t>교정</t>
  </si>
  <si>
    <t>최종교정일</t>
  </si>
  <si>
    <t>차기교정일</t>
  </si>
  <si>
    <t>장비사양</t>
  </si>
  <si>
    <t>설치장소</t>
  </si>
  <si>
    <t>교정주기</t>
  </si>
  <si>
    <t>GSM,CDMA,WCDMA,LTE</t>
  </si>
  <si>
    <t>1000V</t>
  </si>
  <si>
    <r>
      <t>50</t>
    </r>
    <r>
      <rPr>
        <sz val="10"/>
        <color theme="1"/>
        <rFont val="맑은 고딕"/>
        <family val="2"/>
        <charset val="129"/>
      </rPr>
      <t>℃, 90%</t>
    </r>
  </si>
  <si>
    <t>Head &amp; Body 5 GHz</t>
  </si>
  <si>
    <t>GSM,CDMA,WCDMA</t>
  </si>
  <si>
    <t>2F- SAR</t>
  </si>
  <si>
    <r>
      <t>7000</t>
    </r>
    <r>
      <rPr>
        <sz val="10"/>
        <color theme="1"/>
        <rFont val="맑은 고딕"/>
        <family val="3"/>
        <charset val="129"/>
      </rPr>
      <t>×</t>
    </r>
    <r>
      <rPr>
        <sz val="10"/>
        <color theme="1"/>
        <rFont val="Arial"/>
        <family val="2"/>
      </rPr>
      <t>5000×3000 (mm)</t>
    </r>
  </si>
  <si>
    <t>200MHz~20GHz</t>
  </si>
  <si>
    <t>9KHz~6.5GHz</t>
  </si>
  <si>
    <t>1468</t>
  </si>
  <si>
    <t>번호</t>
  </si>
  <si>
    <t>위치</t>
  </si>
  <si>
    <r>
      <t>7000</t>
    </r>
    <r>
      <rPr>
        <sz val="10"/>
        <rFont val="맑은 고딕"/>
        <family val="3"/>
        <charset val="129"/>
      </rPr>
      <t>×</t>
    </r>
    <r>
      <rPr>
        <sz val="10"/>
        <rFont val="Arial"/>
        <family val="2"/>
      </rPr>
      <t>5000×3000 (mm)</t>
    </r>
  </si>
  <si>
    <t>10MHz to 6GHz</t>
  </si>
  <si>
    <t>교정기관</t>
  </si>
  <si>
    <t>`</t>
  </si>
  <si>
    <t>관리번호</t>
    <phoneticPr fontId="9" type="noConversion"/>
  </si>
  <si>
    <t>구입년도</t>
    <phoneticPr fontId="9" type="noConversion"/>
  </si>
  <si>
    <r>
      <rPr>
        <b/>
        <sz val="11"/>
        <color rgb="FFFFFFFF"/>
        <rFont val="맑은 고딕"/>
        <family val="3"/>
        <charset val="129"/>
      </rPr>
      <t>교정주기</t>
    </r>
    <r>
      <rPr>
        <b/>
        <sz val="11"/>
        <color indexed="9"/>
        <rFont val="Arial"/>
        <family val="2"/>
      </rPr>
      <t xml:space="preserve">
(</t>
    </r>
    <r>
      <rPr>
        <b/>
        <sz val="11"/>
        <color rgb="FFFFFFFF"/>
        <rFont val="돋움"/>
        <family val="2"/>
        <charset val="129"/>
      </rPr>
      <t>개월)</t>
    </r>
    <phoneticPr fontId="9" type="noConversion"/>
  </si>
  <si>
    <t>최종교정일</t>
    <phoneticPr fontId="9" type="noConversion"/>
  </si>
  <si>
    <t>중간점검 대상
(O/X)</t>
    <phoneticPr fontId="9" type="noConversion"/>
  </si>
  <si>
    <r>
      <t xml:space="preserve">자산번호
</t>
    </r>
    <r>
      <rPr>
        <b/>
        <sz val="9"/>
        <color rgb="FFFFFFFF"/>
        <rFont val="돋움"/>
        <family val="3"/>
        <charset val="129"/>
      </rPr>
      <t>(번호 or N/A)</t>
    </r>
    <phoneticPr fontId="9" type="noConversion"/>
  </si>
  <si>
    <r>
      <t xml:space="preserve">관리방법
</t>
    </r>
    <r>
      <rPr>
        <b/>
        <sz val="9"/>
        <color rgb="FFFFFFFF"/>
        <rFont val="돋움"/>
        <family val="3"/>
        <charset val="129"/>
      </rPr>
      <t>(외부교정/자체점검/비대상)</t>
    </r>
    <phoneticPr fontId="9" type="noConversion"/>
  </si>
  <si>
    <r>
      <t xml:space="preserve">가용 여부
</t>
    </r>
    <r>
      <rPr>
        <b/>
        <sz val="9"/>
        <color rgb="FFFFFFFF"/>
        <rFont val="맑은 고딕"/>
        <family val="3"/>
        <charset val="129"/>
      </rPr>
      <t>(사용/고장/여분)</t>
    </r>
    <phoneticPr fontId="9" type="noConversion"/>
  </si>
  <si>
    <t>UL-QP-18-01(01)</t>
    <phoneticPr fontId="9" type="noConversion"/>
  </si>
  <si>
    <t>N/A</t>
    <phoneticPr fontId="9" type="noConversion"/>
  </si>
  <si>
    <t>ESD Simulator</t>
    <phoneticPr fontId="9" type="noConversion"/>
  </si>
  <si>
    <t>ESD Gun</t>
  </si>
  <si>
    <t>CR Unit 150p-330</t>
  </si>
  <si>
    <t>Gun Head 330</t>
    <phoneticPr fontId="9" type="noConversion"/>
  </si>
  <si>
    <t>Discharge tip(Conical)</t>
  </si>
  <si>
    <t>Discharge tip(Round)</t>
  </si>
  <si>
    <t>Remocon</t>
  </si>
  <si>
    <t>ESD Target</t>
  </si>
  <si>
    <t>High Voltage Meter</t>
  </si>
  <si>
    <t>Capacitive Coupling Clamp</t>
  </si>
  <si>
    <t>Magnetic Field Coil</t>
  </si>
  <si>
    <t>Current Transformer</t>
  </si>
  <si>
    <t>Coupling/Decoupling Network</t>
  </si>
  <si>
    <t>Calibration Set for HFK</t>
  </si>
  <si>
    <t>Motorized Variac</t>
    <phoneticPr fontId="9" type="noConversion"/>
  </si>
  <si>
    <t>자체점검</t>
  </si>
  <si>
    <t>외부교정</t>
    <phoneticPr fontId="9" type="noConversion"/>
  </si>
  <si>
    <t>3F-EMC</t>
  </si>
  <si>
    <t>3F-EMC</t>
    <phoneticPr fontId="9" type="noConversion"/>
  </si>
  <si>
    <t>사용</t>
    <phoneticPr fontId="9" type="noConversion"/>
  </si>
  <si>
    <t>O</t>
    <phoneticPr fontId="9" type="noConversion"/>
  </si>
  <si>
    <t>X</t>
    <phoneticPr fontId="9" type="noConversion"/>
  </si>
  <si>
    <t>ESS-S3011</t>
  </si>
  <si>
    <t>GT-30R</t>
  </si>
  <si>
    <t>06-00073B</t>
  </si>
  <si>
    <t>ESS1602300</t>
  </si>
  <si>
    <t>12-00007A</t>
  </si>
  <si>
    <t>12-00008A</t>
  </si>
  <si>
    <t>13-00004A</t>
  </si>
  <si>
    <t>MESD-T04G</t>
  </si>
  <si>
    <t>149-04</t>
  </si>
  <si>
    <t>UCS 500N7</t>
  </si>
  <si>
    <t>HFK</t>
  </si>
  <si>
    <t>NX1-260-16</t>
  </si>
  <si>
    <t>MS100N</t>
  </si>
  <si>
    <t>MC2630</t>
  </si>
  <si>
    <t>CNV 508N1</t>
  </si>
  <si>
    <t>CA HFK</t>
  </si>
  <si>
    <t>ESS15Y2243</t>
  </si>
  <si>
    <t>ESS15Y2319</t>
  </si>
  <si>
    <t>ESS15Y2147</t>
  </si>
  <si>
    <t>-</t>
  </si>
  <si>
    <t>P1623180276</t>
  </si>
  <si>
    <t>P1642185787</t>
  </si>
  <si>
    <t>P1643186425</t>
  </si>
  <si>
    <t>P1627181323</t>
  </si>
  <si>
    <t>P1644186779</t>
  </si>
  <si>
    <t>P1623180333</t>
  </si>
  <si>
    <t>P1550168668</t>
  </si>
  <si>
    <t>0.20kV ~ 30.0kV±5% 
(30.5kVmax)</t>
  </si>
  <si>
    <t>150p-330</t>
  </si>
  <si>
    <t>1.2m x 1.2m x 1.2T PLANE</t>
  </si>
  <si>
    <t>2kV/20kV/60kV ±0.05%
100GΩ</t>
  </si>
  <si>
    <t>Burst 5KV / Surge 7KV
1P 16A</t>
  </si>
  <si>
    <t>IEC 61000-4-4</t>
  </si>
  <si>
    <t>0 - 260 V / 16 A</t>
  </si>
  <si>
    <t>Magnetic field coil 1 m x 1 m 
for EN 61000-4-8/9</t>
  </si>
  <si>
    <t>magnetic field coil 
0 - 30 A (50A short term)</t>
  </si>
  <si>
    <t>Coupling network for 8 lines 
as per IEC 61000-4-5</t>
  </si>
  <si>
    <t>Calibration Set for HFK as
 per IEC 61000-4-4 Ed.3</t>
  </si>
  <si>
    <t>NOISEKEN</t>
  </si>
  <si>
    <t>MWF</t>
  </si>
  <si>
    <t>APPLIED KILOVOLTS</t>
  </si>
  <si>
    <t>EM TEST (Switzerland)</t>
  </si>
  <si>
    <t>O</t>
    <phoneticPr fontId="9" type="noConversion"/>
  </si>
  <si>
    <t>Calibration Kit for Burst Verification</t>
    <phoneticPr fontId="9" type="noConversion"/>
  </si>
  <si>
    <t>Matching Impedance Network</t>
  </si>
  <si>
    <t>Differential Voltage Probe</t>
  </si>
  <si>
    <t>Current Probe</t>
  </si>
  <si>
    <t>Compact immunity test system</t>
  </si>
  <si>
    <t>USB to Serial/Optical</t>
  </si>
  <si>
    <t>CDN [M1]</t>
  </si>
  <si>
    <t>CDN [M2/3]</t>
  </si>
  <si>
    <t>CDN [T2]</t>
  </si>
  <si>
    <t>CDN [T4]</t>
  </si>
  <si>
    <t>CDN [S1_50Ω]</t>
  </si>
  <si>
    <t>CDN [S1_75Ω]</t>
  </si>
  <si>
    <t>CDN [RJ45]</t>
  </si>
  <si>
    <t>CDN [AF2]</t>
  </si>
  <si>
    <t>EM Clamp</t>
  </si>
  <si>
    <t>Attenuation clamp</t>
  </si>
  <si>
    <t>EMC(RS) Chamber</t>
  </si>
  <si>
    <t>SAPPHIRE INSTRUMNETS</t>
  </si>
  <si>
    <t>PEARSON ELECTRONICS</t>
  </si>
  <si>
    <t>TESEQ INC.</t>
  </si>
  <si>
    <t>CA EFT</t>
  </si>
  <si>
    <t>IMN 2</t>
  </si>
  <si>
    <t>P1643186065</t>
  </si>
  <si>
    <t>SI-9010</t>
  </si>
  <si>
    <t>NSG 4070B-80</t>
  </si>
  <si>
    <t>USO 4013</t>
  </si>
  <si>
    <t>CDN M116</t>
  </si>
  <si>
    <t>CDN M016</t>
  </si>
  <si>
    <t>CDN T2-10</t>
  </si>
  <si>
    <t>CDN T4-10</t>
  </si>
  <si>
    <t>CDN S501A</t>
  </si>
  <si>
    <t>CDN S751A</t>
  </si>
  <si>
    <t>CDN ST08A</t>
  </si>
  <si>
    <t>CDN A201A</t>
  </si>
  <si>
    <t>KEMZ 801A</t>
  </si>
  <si>
    <t>KEMA 801A</t>
  </si>
  <si>
    <t>adapter for DUT port in a 
plastic case for storage</t>
  </si>
  <si>
    <t>match direct output to 2ohm 
source impedance</t>
  </si>
  <si>
    <t>Immunity test probes 
(electrical field generation)</t>
  </si>
  <si>
    <t>Immunity test probes 
(magnetic field generation)</t>
  </si>
  <si>
    <t>9 kHz - 1 GHz, 80W</t>
  </si>
  <si>
    <t>type M1, 16 A , 
10 kHz-80 MHz (banana)</t>
  </si>
  <si>
    <t>type M2/3 switchable
16 A, 150 kHz-230 (banana)</t>
  </si>
  <si>
    <t>type T2,
10 kHz-230 MHz, banana</t>
  </si>
  <si>
    <t>type T4,
10 kHz-230 MHz, banana</t>
  </si>
  <si>
    <t>type S1, 150 kHz-230 MHz 
(BNC 50Ohm)</t>
  </si>
  <si>
    <t>type S1, 150 kHz-230 MHz 
(BNC 75Ohm)</t>
  </si>
  <si>
    <t>type for screened eight lines 
with RJ45 connector</t>
  </si>
  <si>
    <t>type AF2, 150 kHz-230MHz
4 A, (banana)</t>
  </si>
  <si>
    <t>stress level setting and 50 Ω 
N type termination 1 Watts</t>
  </si>
  <si>
    <t>with IEC 61000-4-6</t>
  </si>
  <si>
    <t>RS/RE</t>
  </si>
  <si>
    <t>Turn Table</t>
  </si>
  <si>
    <t>Antenna Mast</t>
  </si>
  <si>
    <t>Controller</t>
  </si>
  <si>
    <t>6KVA AC+DC Programable Power</t>
  </si>
  <si>
    <t>S DFT 1Phase Power analyzer</t>
  </si>
  <si>
    <t>Impedance Network</t>
  </si>
  <si>
    <t>Power Meter</t>
  </si>
  <si>
    <t>Open Switch and Control Unit</t>
  </si>
  <si>
    <t>Power Amp</t>
  </si>
  <si>
    <t>Probe Positioner</t>
  </si>
  <si>
    <t>Log-Per Antenna</t>
  </si>
  <si>
    <t>Power Probe</t>
    <phoneticPr fontId="9" type="noConversion"/>
  </si>
  <si>
    <t>NEWTONS4TH LTD</t>
  </si>
  <si>
    <t>R&amp;S</t>
  </si>
  <si>
    <t>AR</t>
  </si>
  <si>
    <t>INNCO</t>
  </si>
  <si>
    <t xml:space="preserve">SCHWARZBECK </t>
  </si>
  <si>
    <t>DS2000-1t</t>
  </si>
  <si>
    <t>MA4000-XPET</t>
  </si>
  <si>
    <t>501/36981015/L</t>
  </si>
  <si>
    <t>MA4000-EP</t>
  </si>
  <si>
    <t>504/36981015/L</t>
  </si>
  <si>
    <t>CO3000-4P with GPIB</t>
  </si>
  <si>
    <t>974/39541016/L</t>
  </si>
  <si>
    <t>91J-11894</t>
  </si>
  <si>
    <t>PPA5511</t>
  </si>
  <si>
    <t>162-04955</t>
  </si>
  <si>
    <t>IMP161</t>
  </si>
  <si>
    <t>91G-11811</t>
  </si>
  <si>
    <t>SMB100A</t>
  </si>
  <si>
    <t>NRP2</t>
  </si>
  <si>
    <t>NRP6A</t>
  </si>
  <si>
    <t>OSP120</t>
  </si>
  <si>
    <t>BBA150</t>
  </si>
  <si>
    <t>102016/102370</t>
    <phoneticPr fontId="9" type="noConversion"/>
  </si>
  <si>
    <t>FL7006</t>
  </si>
  <si>
    <t>FSM2315</t>
  </si>
  <si>
    <t>CO 3000-1D</t>
  </si>
  <si>
    <t>CO3000/973</t>
  </si>
  <si>
    <t>STLP9129</t>
  </si>
  <si>
    <t>9129 023</t>
  </si>
  <si>
    <t>AI.69481</t>
  </si>
  <si>
    <t>1P, 6KVA</t>
  </si>
  <si>
    <t>0.3mVpk~3KVpk(1KVrms) 
in 9 ranges</t>
  </si>
  <si>
    <t>RA = 0.24Ω     jXA = 0.15Ω
RN = 0.16Ω     jXN = 0.10Ω</t>
  </si>
  <si>
    <t>9kHz to 6GHz</t>
  </si>
  <si>
    <t>Power meter</t>
  </si>
  <si>
    <t>8 kHz to 6 GHz 
100pW to 200mW</t>
  </si>
  <si>
    <t>9 KHz to 6 GHz</t>
  </si>
  <si>
    <t>250W, 80 MHZ TO 1 GHZ</t>
  </si>
  <si>
    <t>100 kHz - 6 GHz 
0.5 - 800 V/m</t>
  </si>
  <si>
    <t>Field Probe Positioner</t>
  </si>
  <si>
    <t>RANGE 70 MHZ TO 10 GHZ</t>
  </si>
  <si>
    <t>50℃, 90%</t>
  </si>
  <si>
    <t>1F-EMC</t>
  </si>
  <si>
    <t>1F-EMC</t>
    <phoneticPr fontId="9" type="noConversion"/>
  </si>
  <si>
    <t>Oscilloscope</t>
  </si>
  <si>
    <t>Pre-Amplifier</t>
  </si>
  <si>
    <t>RTO2014</t>
  </si>
  <si>
    <t>AI.69482</t>
  </si>
  <si>
    <t>4CH, 1GHz BW
sampling rate 10GSa/s</t>
  </si>
  <si>
    <t>Power Amp</t>
    <phoneticPr fontId="9" type="noConversion"/>
  </si>
  <si>
    <t>Gauss meter</t>
  </si>
  <si>
    <t>Clamp meter</t>
  </si>
  <si>
    <t>DMM</t>
  </si>
  <si>
    <t>Electrostatic field meter</t>
  </si>
  <si>
    <t>DC power supply</t>
  </si>
  <si>
    <t>Termination</t>
    <phoneticPr fontId="9" type="noConversion"/>
  </si>
  <si>
    <t>Termination</t>
  </si>
  <si>
    <t>CALIBIRATION UNIT</t>
  </si>
  <si>
    <t>CALIBRATION FIXTURE</t>
  </si>
  <si>
    <t>CDN CALIBRATION ADAPTOR</t>
  </si>
  <si>
    <t>F.W.BELL</t>
  </si>
  <si>
    <t>SIMCO</t>
  </si>
  <si>
    <t>KEYSIGHT</t>
  </si>
  <si>
    <t>FMX-004</t>
  </si>
  <si>
    <t>N5747A</t>
    <phoneticPr fontId="9" type="noConversion"/>
  </si>
  <si>
    <t>U8002A</t>
    <phoneticPr fontId="9" type="noConversion"/>
  </si>
  <si>
    <t>None</t>
  </si>
  <si>
    <t>CAL 801A</t>
  </si>
  <si>
    <t>CAL KEMZ</t>
  </si>
  <si>
    <t>CAL U100B</t>
  </si>
  <si>
    <t>36990106WS</t>
  </si>
  <si>
    <t>FX11461</t>
  </si>
  <si>
    <t>MY57300040</t>
  </si>
  <si>
    <t>US17H9355P</t>
  </si>
  <si>
    <t>UP to DC 60 V // UP to 12.5 A</t>
    <phoneticPr fontId="9" type="noConversion"/>
  </si>
  <si>
    <t>CS CDN</t>
  </si>
  <si>
    <t>3F-Eq.</t>
  </si>
  <si>
    <t>-</t>
    <phoneticPr fontId="9" type="noConversion"/>
  </si>
  <si>
    <t>DC LISN</t>
  </si>
  <si>
    <t>8-WIRE ISN</t>
  </si>
  <si>
    <t>Telecom Surge Module</t>
    <phoneticPr fontId="9" type="noConversion"/>
  </si>
  <si>
    <t>HCT</t>
    <phoneticPr fontId="9" type="noConversion"/>
  </si>
  <si>
    <t>SCHWARZBECK</t>
  </si>
  <si>
    <t>EM Test</t>
    <phoneticPr fontId="9" type="noConversion"/>
  </si>
  <si>
    <t>NNBM8124</t>
  </si>
  <si>
    <t>06173</t>
  </si>
  <si>
    <t>06174</t>
  </si>
  <si>
    <t>CAT5 8158</t>
  </si>
  <si>
    <t>NTFM 8158 ISN CAT6</t>
  </si>
  <si>
    <t>ESW44</t>
  </si>
  <si>
    <t>TSurge7</t>
    <phoneticPr fontId="9" type="noConversion"/>
  </si>
  <si>
    <t>9 kHz to 44 GHz</t>
  </si>
  <si>
    <t>UP to 7 kV</t>
    <phoneticPr fontId="9" type="noConversion"/>
  </si>
  <si>
    <t>Data Line Coupling / Decoupling Network</t>
    <phoneticPr fontId="9" type="noConversion"/>
  </si>
  <si>
    <t>Sound Calibrator</t>
    <phoneticPr fontId="9" type="noConversion"/>
  </si>
  <si>
    <t>Pressure-Field 1/2" Microphone</t>
    <phoneticPr fontId="9" type="noConversion"/>
  </si>
  <si>
    <t>Amplifier</t>
    <phoneticPr fontId="9" type="noConversion"/>
  </si>
  <si>
    <t>Audio Analyzer</t>
    <phoneticPr fontId="9" type="noConversion"/>
  </si>
  <si>
    <t>Power AMP</t>
    <phoneticPr fontId="9" type="noConversion"/>
  </si>
  <si>
    <t>Attenuater</t>
    <phoneticPr fontId="9" type="noConversion"/>
  </si>
  <si>
    <t>DC power supply</t>
    <phoneticPr fontId="9" type="noConversion"/>
  </si>
  <si>
    <t>Mouth simulator</t>
    <phoneticPr fontId="9" type="noConversion"/>
  </si>
  <si>
    <t>EMI Test Receiver</t>
    <phoneticPr fontId="9" type="noConversion"/>
  </si>
  <si>
    <t>Two-Line V-Network</t>
    <phoneticPr fontId="9" type="noConversion"/>
  </si>
  <si>
    <t>Four-Line V-Network</t>
    <phoneticPr fontId="9" type="noConversion"/>
  </si>
  <si>
    <t>Four-Line V-Network</t>
  </si>
  <si>
    <t>8-Wire ISN</t>
    <phoneticPr fontId="9" type="noConversion"/>
  </si>
  <si>
    <t>Bruel &amp; Kjaer</t>
    <phoneticPr fontId="9" type="noConversion"/>
  </si>
  <si>
    <t>R&amp;S</t>
    <phoneticPr fontId="9" type="noConversion"/>
  </si>
  <si>
    <t>Bird</t>
    <phoneticPr fontId="9" type="noConversion"/>
  </si>
  <si>
    <t>SM techno</t>
    <phoneticPr fontId="9" type="noConversion"/>
  </si>
  <si>
    <t>DCD 5 st-8-1</t>
    <phoneticPr fontId="9" type="noConversion"/>
  </si>
  <si>
    <t>UPV</t>
    <phoneticPr fontId="9" type="noConversion"/>
  </si>
  <si>
    <t>BBA150</t>
    <phoneticPr fontId="9" type="noConversion"/>
  </si>
  <si>
    <t>150-A-FFN-06</t>
    <phoneticPr fontId="9" type="noConversion"/>
  </si>
  <si>
    <t>150-A-FFN-20</t>
    <phoneticPr fontId="9" type="noConversion"/>
  </si>
  <si>
    <t>SDP 30-5D</t>
    <phoneticPr fontId="9" type="noConversion"/>
  </si>
  <si>
    <t>ESW44</t>
    <phoneticPr fontId="9" type="noConversion"/>
  </si>
  <si>
    <t>ESW8</t>
    <phoneticPr fontId="9" type="noConversion"/>
  </si>
  <si>
    <t>ESR3</t>
    <phoneticPr fontId="9" type="noConversion"/>
  </si>
  <si>
    <t>ENV216</t>
    <phoneticPr fontId="9" type="noConversion"/>
  </si>
  <si>
    <t>ENV4200</t>
    <phoneticPr fontId="9" type="noConversion"/>
  </si>
  <si>
    <t>ENY81</t>
    <phoneticPr fontId="9" type="noConversion"/>
  </si>
  <si>
    <t>305DSE076</t>
    <phoneticPr fontId="9" type="noConversion"/>
  </si>
  <si>
    <t>305DSE075</t>
    <phoneticPr fontId="9" type="noConversion"/>
  </si>
  <si>
    <t>UP to 5 kV</t>
    <phoneticPr fontId="9" type="noConversion"/>
  </si>
  <si>
    <t>94 &amp; 114 SPL//1000 Hz</t>
    <phoneticPr fontId="9" type="noConversion"/>
  </si>
  <si>
    <t>6 dB attenuator</t>
    <phoneticPr fontId="9" type="noConversion"/>
  </si>
  <si>
    <t>20 dB attenuator</t>
    <phoneticPr fontId="9" type="noConversion"/>
  </si>
  <si>
    <t>UP to DC 30 V // UP to 5 A</t>
    <phoneticPr fontId="9" type="noConversion"/>
  </si>
  <si>
    <t>UP to 44 GHz</t>
    <phoneticPr fontId="9" type="noConversion"/>
  </si>
  <si>
    <t>UP to 8 GHz</t>
    <phoneticPr fontId="9" type="noConversion"/>
  </si>
  <si>
    <t>UP to 3 GHz</t>
    <phoneticPr fontId="9" type="noConversion"/>
  </si>
  <si>
    <t>UP to 16 A</t>
    <phoneticPr fontId="9" type="noConversion"/>
  </si>
  <si>
    <t>UP to 200A</t>
    <phoneticPr fontId="9" type="noConversion"/>
  </si>
  <si>
    <t>Cat 5</t>
    <phoneticPr fontId="9" type="noConversion"/>
  </si>
  <si>
    <t>-</t>
    <phoneticPr fontId="9" type="noConversion"/>
  </si>
  <si>
    <t>10m-CH</t>
    <phoneticPr fontId="9" type="noConversion"/>
  </si>
  <si>
    <t>Absorbing Clamp</t>
    <phoneticPr fontId="9" type="noConversion"/>
  </si>
  <si>
    <t>Cable Guide Rail</t>
    <phoneticPr fontId="9" type="noConversion"/>
  </si>
  <si>
    <t>Current Probe</t>
    <phoneticPr fontId="9" type="noConversion"/>
  </si>
  <si>
    <t>Open Switch and Control Platform</t>
    <phoneticPr fontId="9" type="noConversion"/>
  </si>
  <si>
    <t>System Controller Interface</t>
    <phoneticPr fontId="9" type="noConversion"/>
  </si>
  <si>
    <t>Probe microphone</t>
    <phoneticPr fontId="9" type="noConversion"/>
  </si>
  <si>
    <t xml:space="preserve">Triple-Loop Antenna </t>
    <phoneticPr fontId="9" type="noConversion"/>
  </si>
  <si>
    <t>Calibration Dipole Antenna for Triple-Loop</t>
    <phoneticPr fontId="9" type="noConversion"/>
  </si>
  <si>
    <t>Active Loop Antenna</t>
    <phoneticPr fontId="9" type="noConversion"/>
  </si>
  <si>
    <t>Bias Unit</t>
    <phoneticPr fontId="9" type="noConversion"/>
  </si>
  <si>
    <t>TRILOG Broadband Antenna</t>
    <phoneticPr fontId="9" type="noConversion"/>
  </si>
  <si>
    <t xml:space="preserve">Double-Ridged Guide Antenna </t>
    <phoneticPr fontId="9" type="noConversion"/>
  </si>
  <si>
    <t>Horn Antenna</t>
    <phoneticPr fontId="9" type="noConversion"/>
  </si>
  <si>
    <t>자체점검</t>
    <phoneticPr fontId="9" type="noConversion"/>
  </si>
  <si>
    <t xml:space="preserve">Maturo GmbH </t>
    <phoneticPr fontId="9" type="noConversion"/>
  </si>
  <si>
    <t>Schwarzbeck</t>
    <phoneticPr fontId="9" type="noConversion"/>
  </si>
  <si>
    <t>ETS Lindgren</t>
    <phoneticPr fontId="9" type="noConversion"/>
  </si>
  <si>
    <t>Steatite</t>
    <phoneticPr fontId="9" type="noConversion"/>
  </si>
  <si>
    <t>MDS21</t>
    <phoneticPr fontId="9" type="noConversion"/>
  </si>
  <si>
    <t>CGR5.4</t>
    <phoneticPr fontId="9" type="noConversion"/>
  </si>
  <si>
    <t>EZ-17</t>
    <phoneticPr fontId="9" type="noConversion"/>
  </si>
  <si>
    <t>OSP220</t>
    <phoneticPr fontId="9" type="noConversion"/>
  </si>
  <si>
    <t>SCI-200</t>
    <phoneticPr fontId="9" type="noConversion"/>
  </si>
  <si>
    <t>HM020E</t>
    <phoneticPr fontId="9" type="noConversion"/>
  </si>
  <si>
    <t>HM020Z3</t>
    <phoneticPr fontId="9" type="noConversion"/>
  </si>
  <si>
    <t>HFH2-Z2E</t>
    <phoneticPr fontId="9" type="noConversion"/>
  </si>
  <si>
    <t>IN600</t>
    <phoneticPr fontId="9" type="noConversion"/>
  </si>
  <si>
    <t>VULB9163</t>
    <phoneticPr fontId="9" type="noConversion"/>
  </si>
  <si>
    <t>1L733</t>
    <phoneticPr fontId="9" type="noConversion"/>
  </si>
  <si>
    <t>S20020030</t>
    <phoneticPr fontId="9" type="noConversion"/>
  </si>
  <si>
    <t>with 6 dB attenuator</t>
    <phoneticPr fontId="9" type="noConversion"/>
  </si>
  <si>
    <t>Guid Rail for DP</t>
    <phoneticPr fontId="9" type="noConversion"/>
  </si>
  <si>
    <t>T-Loop Antenna</t>
    <phoneticPr fontId="9" type="noConversion"/>
  </si>
  <si>
    <t>Dipole Antenna for T-Loop</t>
    <phoneticPr fontId="9" type="noConversion"/>
  </si>
  <si>
    <t>Active Loop Antenna UP to 30 MHz</t>
    <phoneticPr fontId="9" type="noConversion"/>
  </si>
  <si>
    <t>for Active Loop Antenna</t>
    <phoneticPr fontId="9" type="noConversion"/>
  </si>
  <si>
    <t>30 MHz up to 3 GHz with attenuator</t>
    <phoneticPr fontId="9" type="noConversion"/>
  </si>
  <si>
    <t>1 GHz up to 18 GHz</t>
    <phoneticPr fontId="9" type="noConversion"/>
  </si>
  <si>
    <t>X</t>
    <phoneticPr fontId="9" type="noConversion"/>
  </si>
  <si>
    <t>O</t>
    <phoneticPr fontId="9" type="noConversion"/>
  </si>
  <si>
    <t>사용</t>
    <phoneticPr fontId="9" type="noConversion"/>
  </si>
  <si>
    <t>Matching Pad</t>
    <phoneticPr fontId="9" type="noConversion"/>
  </si>
  <si>
    <t>Huber-Suhner</t>
    <phoneticPr fontId="9" type="noConversion"/>
  </si>
  <si>
    <t>QMS-00880</t>
    <phoneticPr fontId="9" type="noConversion"/>
  </si>
  <si>
    <t>SCU08F2</t>
    <phoneticPr fontId="9" type="noConversion"/>
  </si>
  <si>
    <t>SCU18F</t>
    <phoneticPr fontId="9" type="noConversion"/>
  </si>
  <si>
    <t>SCU-40A</t>
    <phoneticPr fontId="9" type="noConversion"/>
  </si>
  <si>
    <t>6001.00.0001</t>
    <phoneticPr fontId="9" type="noConversion"/>
  </si>
  <si>
    <t>RAM 358.5414.02</t>
    <phoneticPr fontId="9" type="noConversion"/>
  </si>
  <si>
    <t>18 GHz up to 40 GHz</t>
    <phoneticPr fontId="9" type="noConversion"/>
  </si>
  <si>
    <t>0.1 ~ 8 GHz // gain 40 dB</t>
    <phoneticPr fontId="9" type="noConversion"/>
  </si>
  <si>
    <t>1 ~ 18 GHz // gain 40 dB</t>
    <phoneticPr fontId="9" type="noConversion"/>
  </si>
  <si>
    <t>18 ~ 40 GHz</t>
    <phoneticPr fontId="9" type="noConversion"/>
  </si>
  <si>
    <t>Click Analyser</t>
    <phoneticPr fontId="9" type="noConversion"/>
  </si>
  <si>
    <t>Switching Boxes</t>
    <phoneticPr fontId="9" type="noConversion"/>
  </si>
  <si>
    <t>MPEG Portable Generator</t>
    <phoneticPr fontId="9" type="noConversion"/>
  </si>
  <si>
    <t>Digital Clamp Meter</t>
    <phoneticPr fontId="9" type="noConversion"/>
  </si>
  <si>
    <t>Light meter</t>
    <phoneticPr fontId="9" type="noConversion"/>
  </si>
  <si>
    <t>Common Mode Absorption Device(CMAD)</t>
    <phoneticPr fontId="9" type="noConversion"/>
  </si>
  <si>
    <t>Calibration Fixtore for CMAD</t>
    <phoneticPr fontId="9" type="noConversion"/>
  </si>
  <si>
    <t>Calibration Adapter for CVP</t>
    <phoneticPr fontId="9" type="noConversion"/>
  </si>
  <si>
    <t>Attenuator</t>
    <phoneticPr fontId="9" type="noConversion"/>
  </si>
  <si>
    <t>AFJ</t>
    <phoneticPr fontId="9" type="noConversion"/>
  </si>
  <si>
    <t>MFLO</t>
    <phoneticPr fontId="9" type="noConversion"/>
  </si>
  <si>
    <t>Tae Kwang Electornics co.</t>
    <phoneticPr fontId="9" type="noConversion"/>
  </si>
  <si>
    <t>TES</t>
    <phoneticPr fontId="9" type="noConversion"/>
  </si>
  <si>
    <t>QMTL</t>
    <phoneticPr fontId="9" type="noConversion"/>
  </si>
  <si>
    <t>INMET</t>
    <phoneticPr fontId="9" type="noConversion"/>
  </si>
  <si>
    <t>DDA55</t>
    <phoneticPr fontId="9" type="noConversion"/>
  </si>
  <si>
    <t>SW04</t>
    <phoneticPr fontId="9" type="noConversion"/>
  </si>
  <si>
    <t>MHG-200</t>
    <phoneticPr fontId="9" type="noConversion"/>
  </si>
  <si>
    <t>TK-1000A</t>
    <phoneticPr fontId="9" type="noConversion"/>
  </si>
  <si>
    <t>CMAD 1614</t>
    <phoneticPr fontId="9" type="noConversion"/>
  </si>
  <si>
    <t>CAL CMAD 1614</t>
    <phoneticPr fontId="9" type="noConversion"/>
  </si>
  <si>
    <t>CAL 9222 B</t>
    <phoneticPr fontId="9" type="noConversion"/>
  </si>
  <si>
    <t>150W1GNN-06</t>
    <phoneticPr fontId="9" type="noConversion"/>
  </si>
  <si>
    <t>6N5W-6dB</t>
    <phoneticPr fontId="9" type="noConversion"/>
  </si>
  <si>
    <t>SW041920116</t>
    <phoneticPr fontId="9" type="noConversion"/>
  </si>
  <si>
    <t>E17MH-G2005</t>
    <phoneticPr fontId="9" type="noConversion"/>
  </si>
  <si>
    <t>190304936K</t>
    <phoneticPr fontId="9" type="noConversion"/>
  </si>
  <si>
    <t>00289</t>
    <phoneticPr fontId="9" type="noConversion"/>
  </si>
  <si>
    <t>00291</t>
    <phoneticPr fontId="9" type="noConversion"/>
  </si>
  <si>
    <t>00300</t>
    <phoneticPr fontId="9" type="noConversion"/>
  </si>
  <si>
    <t>00109</t>
    <phoneticPr fontId="9" type="noConversion"/>
  </si>
  <si>
    <t>01086</t>
    <phoneticPr fontId="9" type="noConversion"/>
  </si>
  <si>
    <t>AJ.84563</t>
    <phoneticPr fontId="9" type="noConversion"/>
  </si>
  <si>
    <t>Calibration fixture for CMAD</t>
    <phoneticPr fontId="9" type="noConversion"/>
  </si>
  <si>
    <t>Calibration fixture for CVP</t>
    <phoneticPr fontId="9" type="noConversion"/>
  </si>
  <si>
    <t>3F-Eq.</t>
    <phoneticPr fontId="9" type="noConversion"/>
  </si>
  <si>
    <t>N/A</t>
    <phoneticPr fontId="9" type="noConversion"/>
  </si>
  <si>
    <t>사용</t>
    <phoneticPr fontId="9" type="noConversion"/>
  </si>
  <si>
    <t>O</t>
    <phoneticPr fontId="9" type="noConversion"/>
  </si>
  <si>
    <t>CDN [ST08]</t>
    <phoneticPr fontId="9" type="noConversion"/>
  </si>
  <si>
    <t>High Power Voltage Probe</t>
    <phoneticPr fontId="9" type="noConversion"/>
  </si>
  <si>
    <t>SFC-U</t>
    <phoneticPr fontId="9" type="noConversion"/>
  </si>
  <si>
    <t>TESEQ INC.</t>
    <phoneticPr fontId="9" type="noConversion"/>
  </si>
  <si>
    <t>ST08</t>
    <phoneticPr fontId="9" type="noConversion"/>
  </si>
  <si>
    <t>TK 9421</t>
    <phoneticPr fontId="9" type="noConversion"/>
  </si>
  <si>
    <t>SFC-U USB COMPACT MODULATOR</t>
    <phoneticPr fontId="9" type="noConversion"/>
  </si>
  <si>
    <t>9421-309</t>
    <phoneticPr fontId="9" type="noConversion"/>
  </si>
  <si>
    <t>Turn Table</t>
    <phoneticPr fontId="9" type="noConversion"/>
  </si>
  <si>
    <t>Innco systems GmbH</t>
    <phoneticPr fontId="9" type="noConversion"/>
  </si>
  <si>
    <t>Antenna Mast</t>
    <phoneticPr fontId="9" type="noConversion"/>
  </si>
  <si>
    <t>Controller</t>
    <phoneticPr fontId="9" type="noConversion"/>
  </si>
  <si>
    <t>CO3000</t>
    <phoneticPr fontId="9" type="noConversion"/>
  </si>
  <si>
    <t>CO3000/1158/
45470119/P</t>
    <phoneticPr fontId="9" type="noConversion"/>
  </si>
  <si>
    <t>EMI Test Receiver</t>
    <phoneticPr fontId="9" type="noConversion"/>
  </si>
  <si>
    <t>Temp and Humidity recorder</t>
    <phoneticPr fontId="9" type="noConversion"/>
  </si>
  <si>
    <t>Sound Acoustic Tester</t>
    <phoneticPr fontId="9" type="noConversion"/>
  </si>
  <si>
    <t>TESTEK Co.,Ltd</t>
    <phoneticPr fontId="9" type="noConversion"/>
  </si>
  <si>
    <t>TST-1000</t>
    <phoneticPr fontId="9" type="noConversion"/>
  </si>
  <si>
    <t>200110-A</t>
    <phoneticPr fontId="9" type="noConversion"/>
  </si>
  <si>
    <t>Impedance Box</t>
    <phoneticPr fontId="9" type="noConversion"/>
  </si>
  <si>
    <t>N/A</t>
    <phoneticPr fontId="9" type="noConversion"/>
  </si>
  <si>
    <t>170016-R</t>
    <phoneticPr fontId="9" type="noConversion"/>
  </si>
  <si>
    <t>Microphone</t>
    <phoneticPr fontId="9" type="noConversion"/>
  </si>
  <si>
    <t>BSWA</t>
    <phoneticPr fontId="9" type="noConversion"/>
  </si>
  <si>
    <t>MP201</t>
    <phoneticPr fontId="9" type="noConversion"/>
  </si>
  <si>
    <t>Low Noise Amplifier</t>
    <phoneticPr fontId="9" type="noConversion"/>
  </si>
  <si>
    <t>TIB-R1</t>
    <phoneticPr fontId="9" type="noConversion"/>
  </si>
  <si>
    <t>TK-PA 005H</t>
    <phoneticPr fontId="9" type="noConversion"/>
  </si>
  <si>
    <t>200159-L</t>
    <phoneticPr fontId="9" type="noConversion"/>
  </si>
  <si>
    <t>CDNE M2</t>
    <phoneticPr fontId="9" type="noConversion"/>
  </si>
  <si>
    <t>SCHWARZBECK</t>
    <phoneticPr fontId="9" type="noConversion"/>
  </si>
  <si>
    <t>CDNE M3</t>
    <phoneticPr fontId="9" type="noConversion"/>
  </si>
  <si>
    <t>ELECTRONIC LOAD</t>
    <phoneticPr fontId="9" type="noConversion"/>
  </si>
  <si>
    <t>KIKUSUI</t>
    <phoneticPr fontId="9" type="noConversion"/>
  </si>
  <si>
    <t>PLZ334W</t>
    <phoneticPr fontId="9" type="noConversion"/>
  </si>
  <si>
    <t>AU001529</t>
    <phoneticPr fontId="9" type="noConversion"/>
  </si>
  <si>
    <t>AU001530</t>
    <phoneticPr fontId="9" type="noConversion"/>
  </si>
  <si>
    <t>N/A</t>
    <phoneticPr fontId="9" type="noConversion"/>
  </si>
  <si>
    <t>CDN T8-230</t>
    <phoneticPr fontId="9" type="noConversion"/>
  </si>
  <si>
    <t>HCT</t>
    <phoneticPr fontId="9" type="noConversion"/>
  </si>
  <si>
    <t>3F-EMC</t>
    <phoneticPr fontId="9" type="noConversion"/>
  </si>
  <si>
    <t>X</t>
    <phoneticPr fontId="9" type="noConversion"/>
  </si>
  <si>
    <t>사용</t>
    <phoneticPr fontId="9" type="noConversion"/>
  </si>
  <si>
    <t>DC Load</t>
    <phoneticPr fontId="9" type="noConversion"/>
  </si>
  <si>
    <t>KIKUSUI</t>
    <phoneticPr fontId="9" type="noConversion"/>
  </si>
  <si>
    <t>R&amp;S</t>
    <phoneticPr fontId="9" type="noConversion"/>
  </si>
  <si>
    <t>Signal Generator</t>
    <phoneticPr fontId="9" type="noConversion"/>
  </si>
  <si>
    <t>Power Amplifier</t>
    <phoneticPr fontId="9" type="noConversion"/>
  </si>
  <si>
    <t>FESP 5132</t>
    <phoneticPr fontId="9" type="noConversion"/>
  </si>
  <si>
    <t>Loop Sensor/Antenna</t>
    <phoneticPr fontId="9" type="noConversion"/>
  </si>
  <si>
    <t>Circular transmitting loop antenna</t>
    <phoneticPr fontId="9" type="noConversion"/>
  </si>
  <si>
    <t>Monitor loop</t>
    <phoneticPr fontId="9" type="noConversion"/>
  </si>
  <si>
    <t>Compensation network</t>
    <phoneticPr fontId="9" type="noConversion"/>
  </si>
  <si>
    <t>N/A</t>
    <phoneticPr fontId="9" type="noConversion"/>
  </si>
  <si>
    <t>HCT</t>
    <phoneticPr fontId="9" type="noConversion"/>
  </si>
  <si>
    <t>BONN Elektronik</t>
    <phoneticPr fontId="9" type="noConversion"/>
  </si>
  <si>
    <t>PLZ1205W</t>
    <phoneticPr fontId="9" type="noConversion"/>
  </si>
  <si>
    <t>SMB100B</t>
    <phoneticPr fontId="9" type="noConversion"/>
  </si>
  <si>
    <t>B5A 0110-100</t>
    <phoneticPr fontId="9" type="noConversion"/>
  </si>
  <si>
    <t>FESP 5134-40</t>
    <phoneticPr fontId="9" type="noConversion"/>
  </si>
  <si>
    <t>FESP 5134-1</t>
    <phoneticPr fontId="9" type="noConversion"/>
  </si>
  <si>
    <t>FESP 5164</t>
    <phoneticPr fontId="9" type="noConversion"/>
  </si>
  <si>
    <t>NFCN 1356</t>
    <phoneticPr fontId="9" type="noConversion"/>
  </si>
  <si>
    <t>1422.1000K02-103318-Rd</t>
    <phoneticPr fontId="9" type="noConversion"/>
  </si>
  <si>
    <t>00482</t>
    <phoneticPr fontId="9" type="noConversion"/>
  </si>
  <si>
    <t>5134-40-479</t>
    <phoneticPr fontId="9" type="noConversion"/>
  </si>
  <si>
    <t>00097</t>
    <phoneticPr fontId="9" type="noConversion"/>
  </si>
  <si>
    <t>00112</t>
    <phoneticPr fontId="9" type="noConversion"/>
  </si>
  <si>
    <t>00053</t>
    <phoneticPr fontId="9" type="noConversion"/>
  </si>
  <si>
    <t>BT002257</t>
    <phoneticPr fontId="9" type="noConversion"/>
  </si>
  <si>
    <t>SCHWARZBECK</t>
    <phoneticPr fontId="9" type="noConversion"/>
  </si>
  <si>
    <t>DMM</t>
    <phoneticPr fontId="9" type="noConversion"/>
  </si>
  <si>
    <t>3F-Eq.</t>
    <phoneticPr fontId="9" type="noConversion"/>
  </si>
  <si>
    <t>N4A06-M</t>
    <phoneticPr fontId="9" type="noConversion"/>
  </si>
  <si>
    <t>NNBM8124</t>
    <phoneticPr fontId="9" type="noConversion"/>
  </si>
  <si>
    <t>250 WATTS Load</t>
    <phoneticPr fontId="9" type="noConversion"/>
  </si>
  <si>
    <t>300 WATTS Load</t>
    <phoneticPr fontId="9" type="noConversion"/>
  </si>
  <si>
    <t>TC460</t>
    <phoneticPr fontId="9" type="noConversion"/>
  </si>
  <si>
    <t>1433-3</t>
    <phoneticPr fontId="9" type="noConversion"/>
  </si>
  <si>
    <t>300-T-FN</t>
    <phoneticPr fontId="9" type="noConversion"/>
  </si>
  <si>
    <t>WEINSCHEL</t>
    <phoneticPr fontId="9" type="noConversion"/>
  </si>
  <si>
    <t>BIRD</t>
    <phoneticPr fontId="9" type="noConversion"/>
  </si>
  <si>
    <t>비대상</t>
    <phoneticPr fontId="9" type="noConversion"/>
  </si>
  <si>
    <t>N/A</t>
    <phoneticPr fontId="9" type="noConversion"/>
  </si>
  <si>
    <t>SPLITTER</t>
    <phoneticPr fontId="9" type="noConversion"/>
  </si>
  <si>
    <t>외부교정</t>
    <phoneticPr fontId="9" type="noConversion"/>
  </si>
  <si>
    <t>HCT</t>
    <phoneticPr fontId="9" type="noConversion"/>
  </si>
  <si>
    <t>Mini-Circuits</t>
    <phoneticPr fontId="9" type="noConversion"/>
  </si>
  <si>
    <t>ZFRSC-42-S+</t>
    <phoneticPr fontId="9" type="noConversion"/>
  </si>
  <si>
    <t>S UU90901305</t>
    <phoneticPr fontId="9" type="noConversion"/>
  </si>
  <si>
    <t>3F-EMC</t>
    <phoneticPr fontId="9" type="noConversion"/>
  </si>
  <si>
    <t>사용</t>
    <phoneticPr fontId="9" type="noConversion"/>
  </si>
  <si>
    <t>DC-4200 MHz</t>
    <phoneticPr fontId="9" type="noConversion"/>
  </si>
  <si>
    <t>O</t>
    <phoneticPr fontId="9" type="noConversion"/>
  </si>
  <si>
    <t>사용</t>
    <phoneticPr fontId="9" type="noConversion"/>
  </si>
  <si>
    <t>Measuring Tape</t>
    <phoneticPr fontId="9" type="noConversion"/>
  </si>
  <si>
    <t>KOMELON</t>
    <phoneticPr fontId="9" type="noConversion"/>
  </si>
  <si>
    <t>Measuring Tape30</t>
    <phoneticPr fontId="9" type="noConversion"/>
  </si>
  <si>
    <t>None</t>
    <phoneticPr fontId="9" type="noConversion"/>
  </si>
  <si>
    <t>사용</t>
    <phoneticPr fontId="9" type="noConversion"/>
  </si>
  <si>
    <t>RF-3챔버</t>
    <phoneticPr fontId="9" type="noConversion"/>
  </si>
  <si>
    <t>Ultra Compact Simulator(BURST)</t>
    <phoneticPr fontId="9" type="noConversion"/>
  </si>
  <si>
    <t>최종 업데이트 일자 : 2025.02.10</t>
    <phoneticPr fontId="9" type="noConversion"/>
  </si>
  <si>
    <t xml:space="preserve">                 </t>
    <phoneticPr fontId="9" type="noConversion"/>
  </si>
  <si>
    <t>(G-EMC팀) 시험설비 관리대장</t>
    <phoneticPr fontId="9" type="noConversion"/>
  </si>
  <si>
    <t>외부교정</t>
  </si>
  <si>
    <t>외부교정</t>
    <phoneticPr fontId="9" type="noConversion"/>
  </si>
  <si>
    <t>소속팀</t>
    <phoneticPr fontId="9" type="noConversion"/>
  </si>
  <si>
    <t>EMC</t>
  </si>
  <si>
    <t>EMC</t>
    <phoneticPr fontId="9" type="noConversion"/>
  </si>
  <si>
    <t>SUW-R0001</t>
  </si>
  <si>
    <t>SUW-R0002</t>
  </si>
  <si>
    <t>SUW-R0003</t>
  </si>
  <si>
    <t>SUW-R0007</t>
  </si>
  <si>
    <t>SUW-R0009</t>
  </si>
  <si>
    <t>SUW-R0010</t>
  </si>
  <si>
    <t>SUW-R0012</t>
  </si>
  <si>
    <t>SUW-R0013</t>
  </si>
  <si>
    <t>SUW-R0014</t>
  </si>
  <si>
    <t>SUW-R0015</t>
  </si>
  <si>
    <t>SUW-R0016</t>
  </si>
  <si>
    <t>SUW-R0017</t>
  </si>
  <si>
    <t>SUW-R0018</t>
  </si>
  <si>
    <t>SUW-R0019</t>
  </si>
  <si>
    <t>SUW-R0020</t>
  </si>
  <si>
    <t>SUW-R0021</t>
  </si>
  <si>
    <t>SUW-R0022</t>
  </si>
  <si>
    <t>SUW-R0025</t>
  </si>
  <si>
    <t>SUW-R0026</t>
  </si>
  <si>
    <t>SUW-R0027</t>
  </si>
  <si>
    <t>SUW-R0028</t>
  </si>
  <si>
    <t>SUW-R0029</t>
  </si>
  <si>
    <t>SUW-R0031</t>
  </si>
  <si>
    <t>SUW-R0032</t>
  </si>
  <si>
    <t>SUW-R0033</t>
  </si>
  <si>
    <t>SUW-R0034</t>
  </si>
  <si>
    <t>SUW-R0036</t>
  </si>
  <si>
    <t>SUW-R0037</t>
  </si>
  <si>
    <t>SUW-R0038</t>
  </si>
  <si>
    <t>SUW-R0039</t>
  </si>
  <si>
    <t>SUW-R0040</t>
  </si>
  <si>
    <t>SUW-R0041</t>
  </si>
  <si>
    <t>SUW-R0042</t>
  </si>
  <si>
    <t>SUW-R0043</t>
  </si>
  <si>
    <t>SUW-R0044</t>
  </si>
  <si>
    <t>SUW-R0045</t>
  </si>
  <si>
    <t>SUW-R0046</t>
  </si>
  <si>
    <t>SUW-R0049</t>
  </si>
  <si>
    <t>SUW-R0050</t>
  </si>
  <si>
    <t>SUW-R0051</t>
  </si>
  <si>
    <t>SUW-R0052</t>
  </si>
  <si>
    <t>SUW-R0053</t>
  </si>
  <si>
    <t>SUW-R0054</t>
  </si>
  <si>
    <t>SUW-R0055</t>
  </si>
  <si>
    <t>SUW-R0056</t>
  </si>
  <si>
    <t>SUW-R0057</t>
  </si>
  <si>
    <t>SUW-R0058</t>
  </si>
  <si>
    <t>SUW-R0059</t>
  </si>
  <si>
    <t>SUW-R0060</t>
  </si>
  <si>
    <t>SUW-R0061</t>
  </si>
  <si>
    <t>SUW-R0063</t>
  </si>
  <si>
    <t>SUW-R0064</t>
  </si>
  <si>
    <t>SUW-R0073</t>
  </si>
  <si>
    <t>SUW-R0087</t>
  </si>
  <si>
    <t>SUW-R0088</t>
  </si>
  <si>
    <t>SUW-R0089</t>
  </si>
  <si>
    <t>SUW-R0090</t>
  </si>
  <si>
    <t>SUW-R0091</t>
  </si>
  <si>
    <t>SUW-R0092</t>
  </si>
  <si>
    <t>SUW-R0093</t>
  </si>
  <si>
    <t>SUW-R0094</t>
  </si>
  <si>
    <t>SUW-R0095</t>
  </si>
  <si>
    <t>SUW-R0098</t>
  </si>
  <si>
    <t>SUW-R0099</t>
  </si>
  <si>
    <t>SUW-R0101</t>
  </si>
  <si>
    <t>SUW-R0102</t>
  </si>
  <si>
    <t>SUW-R0103</t>
  </si>
  <si>
    <t>SUW-R0104</t>
  </si>
  <si>
    <t>SUW-R0105</t>
  </si>
  <si>
    <t>SUW-R0107</t>
  </si>
  <si>
    <t>SUW-R0108</t>
  </si>
  <si>
    <t>SUW-R0114</t>
  </si>
  <si>
    <t>SUW-R0115</t>
  </si>
  <si>
    <t>SUW-R0119</t>
  </si>
  <si>
    <t>SUW-R0120</t>
  </si>
  <si>
    <t>SUW-R0121</t>
  </si>
  <si>
    <t>SUW-R0122</t>
  </si>
  <si>
    <t>SUW-R0123</t>
  </si>
  <si>
    <t>SUW-R0124</t>
  </si>
  <si>
    <t>SUW-R0125</t>
  </si>
  <si>
    <t>SUW-R0126</t>
  </si>
  <si>
    <t>SUW-R0127</t>
  </si>
  <si>
    <t>SUW-R0128</t>
  </si>
  <si>
    <t>SUW-R0129</t>
  </si>
  <si>
    <t>SUW-R0130</t>
  </si>
  <si>
    <t>SUW-R0131</t>
  </si>
  <si>
    <t>SUW-R0132</t>
  </si>
  <si>
    <t>SUW-R0133</t>
  </si>
  <si>
    <t>SUW-R0134</t>
  </si>
  <si>
    <t>SUW-R0135</t>
  </si>
  <si>
    <t>SUW-R0137</t>
  </si>
  <si>
    <t>SUW-R0138</t>
  </si>
  <si>
    <t>SUW-R0140</t>
  </si>
  <si>
    <t>SUW-R0141</t>
  </si>
  <si>
    <t>SUW-R0142</t>
  </si>
  <si>
    <t>SUW-R0143</t>
  </si>
  <si>
    <t>SUW-R0144</t>
  </si>
  <si>
    <t>SUW-R0145</t>
  </si>
  <si>
    <t>SUW-R0146</t>
  </si>
  <si>
    <t>SUW-R0147</t>
  </si>
  <si>
    <t>SUW-R0148</t>
  </si>
  <si>
    <t>SUW-R0150</t>
  </si>
  <si>
    <t>SUW-R0151</t>
  </si>
  <si>
    <t>SUW-R0152</t>
  </si>
  <si>
    <t>SUW-R0153</t>
  </si>
  <si>
    <t>SUW-R0154</t>
  </si>
  <si>
    <t>SUW-R0155</t>
  </si>
  <si>
    <t>SUW-R0157</t>
  </si>
  <si>
    <t>SUW-R0159</t>
  </si>
  <si>
    <t>SUW-R0160</t>
  </si>
  <si>
    <t>SUW-R0161</t>
  </si>
  <si>
    <t>SUW-R0162</t>
  </si>
  <si>
    <t>SUW-R0163</t>
  </si>
  <si>
    <t>SUW-R0164</t>
  </si>
  <si>
    <t>SUW-R0165</t>
  </si>
  <si>
    <t>SUW-R0166</t>
  </si>
  <si>
    <t>SUW-R0167</t>
  </si>
  <si>
    <t>SUW-R0168</t>
  </si>
  <si>
    <t>SUW-R0170</t>
  </si>
  <si>
    <t>SUW-R0172</t>
  </si>
  <si>
    <t>SUW-R0175</t>
  </si>
  <si>
    <t>SUW-R0183</t>
  </si>
  <si>
    <t>SUW-R0184</t>
  </si>
  <si>
    <t>SUW-R0186</t>
  </si>
  <si>
    <t>SUW-R0187</t>
  </si>
  <si>
    <t>SUW-R0191</t>
  </si>
  <si>
    <t>SUW-R0192</t>
  </si>
  <si>
    <t>SUW-R0193</t>
  </si>
  <si>
    <t>SUW-R0194</t>
  </si>
  <si>
    <t>SUW-R0195</t>
  </si>
  <si>
    <t>SUW-R0196</t>
  </si>
  <si>
    <t>SUW-R0199</t>
  </si>
  <si>
    <t>SUW-R0200</t>
  </si>
  <si>
    <t>SUW-R0202</t>
  </si>
  <si>
    <t>SUW-R0203</t>
  </si>
  <si>
    <t>SUW-R0205</t>
  </si>
  <si>
    <t>SUW-R0206</t>
  </si>
  <si>
    <t>SUW-R0207</t>
  </si>
  <si>
    <t>SUW-R0208</t>
  </si>
  <si>
    <t>SUW-R0211</t>
  </si>
  <si>
    <t>SUW-R0212</t>
  </si>
  <si>
    <t>SUW-R0213</t>
  </si>
  <si>
    <t>SUW-R0214</t>
  </si>
  <si>
    <t>SUW-R0215</t>
  </si>
  <si>
    <t>SUW-R0216</t>
  </si>
  <si>
    <t>SUW-R0217</t>
  </si>
  <si>
    <t>SUW-R0218</t>
  </si>
  <si>
    <t>SUW-R0219</t>
  </si>
  <si>
    <t>SUW-R0221</t>
  </si>
  <si>
    <t>SUW-R0222</t>
  </si>
  <si>
    <t>SUW-R0223</t>
  </si>
  <si>
    <t>SUW-R0224</t>
  </si>
  <si>
    <t>SUW-R0225</t>
  </si>
  <si>
    <t>SUW-R0226</t>
  </si>
  <si>
    <t>SUW-R0228</t>
  </si>
  <si>
    <t>SUW-R0229</t>
  </si>
  <si>
    <t>SUW-R0230</t>
  </si>
  <si>
    <t>SUW-R0232</t>
  </si>
  <si>
    <t>SUW-R0233</t>
  </si>
  <si>
    <t>SUW-R0234</t>
  </si>
  <si>
    <t>SUW-R0235</t>
  </si>
  <si>
    <t>SUW-R0236</t>
  </si>
  <si>
    <t>SUW-R0237</t>
  </si>
  <si>
    <t>SUW-R0238</t>
  </si>
  <si>
    <t>SUW-R0239</t>
  </si>
  <si>
    <t>SUW-R0240</t>
  </si>
  <si>
    <t>SUW-R0241</t>
  </si>
  <si>
    <t>SUW-R0242</t>
  </si>
  <si>
    <t>SUW-R0244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</si>
</sst>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23" x14ac:knownFonts="1"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b/>
      <sz val="11"/>
      <color indexed="9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돋움"/>
      <family val="2"/>
      <charset val="129"/>
    </font>
    <font>
      <b/>
      <sz val="11"/>
      <color indexed="9"/>
      <name val="Arial"/>
      <family val="3"/>
      <charset val="129"/>
    </font>
    <font>
      <b/>
      <sz val="9"/>
      <color rgb="FFFFFFFF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right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9" fillId="4" borderId="3" xfId="2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8" fillId="0" borderId="1" xfId="10" applyBorder="1" applyAlignment="1">
      <alignment horizontal="center" vertical="center"/>
    </xf>
    <xf numFmtId="0" fontId="0" fillId="0" borderId="1" xfId="1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4" fontId="5" fillId="5" borderId="1" xfId="1" applyNumberFormat="1" applyFont="1" applyFill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8" fillId="0" borderId="1" xfId="1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8" fillId="0" borderId="1" xfId="13" applyBorder="1" applyAlignment="1">
      <alignment horizontal="center" vertical="center"/>
    </xf>
    <xf numFmtId="14" fontId="2" fillId="5" borderId="1" xfId="1" applyNumberFormat="1" applyFont="1" applyFill="1" applyBorder="1" applyAlignment="1">
      <alignment horizontal="center" vertical="center"/>
    </xf>
    <xf numFmtId="14" fontId="5" fillId="0" borderId="1" xfId="3" applyNumberFormat="1" applyFont="1" applyBorder="1" applyAlignment="1">
      <alignment horizontal="center" vertical="center"/>
    </xf>
    <xf numFmtId="14" fontId="5" fillId="5" borderId="1" xfId="3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/>
    </xf>
    <xf numFmtId="14" fontId="2" fillId="0" borderId="1" xfId="3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5" borderId="1" xfId="9" applyFont="1" applyFill="1" applyBorder="1" applyAlignment="1">
      <alignment horizontal="center" vertical="center"/>
    </xf>
    <xf numFmtId="0" fontId="8" fillId="0" borderId="1" xfId="14" applyBorder="1" applyAlignment="1">
      <alignment horizontal="center" vertical="center"/>
    </xf>
    <xf numFmtId="14" fontId="5" fillId="5" borderId="1" xfId="9" applyNumberFormat="1" applyFont="1" applyFill="1" applyBorder="1" applyAlignment="1">
      <alignment horizontal="center" vertical="center"/>
    </xf>
    <xf numFmtId="14" fontId="5" fillId="0" borderId="1" xfId="9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14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9" quotePrefix="1" applyFont="1" applyBorder="1" applyAlignment="1">
      <alignment horizontal="center" vertical="center"/>
    </xf>
    <xf numFmtId="0" fontId="0" fillId="5" borderId="1" xfId="14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2" fillId="0" borderId="1" xfId="14" applyFont="1" applyBorder="1" applyAlignment="1">
      <alignment horizontal="center" vertical="center"/>
    </xf>
    <xf numFmtId="0" fontId="0" fillId="5" borderId="1" xfId="10" applyFont="1" applyFill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1" xfId="13" applyFont="1" applyBorder="1" applyAlignment="1">
      <alignment horizontal="center" vertical="center"/>
    </xf>
    <xf numFmtId="0" fontId="19" fillId="5" borderId="8" xfId="2" applyFont="1" applyFill="1" applyBorder="1" applyAlignment="1">
      <alignment horizontal="center" vertical="center"/>
    </xf>
    <xf numFmtId="0" fontId="19" fillId="5" borderId="1" xfId="2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 shrinkToFit="1"/>
    </xf>
    <xf numFmtId="0" fontId="18" fillId="5" borderId="0" xfId="0" applyFont="1" applyFill="1">
      <alignment vertical="center"/>
    </xf>
    <xf numFmtId="0" fontId="19" fillId="4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 shrinkToFit="1"/>
    </xf>
    <xf numFmtId="0" fontId="19" fillId="4" borderId="1" xfId="2" applyFont="1" applyFill="1" applyBorder="1" applyAlignment="1">
      <alignment horizontal="center" vertical="center"/>
    </xf>
    <xf numFmtId="0" fontId="8" fillId="5" borderId="1" xfId="13" applyFill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18" fillId="4" borderId="1" xfId="2" applyFont="1" applyFill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14" fontId="5" fillId="7" borderId="1" xfId="1" applyNumberFormat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8" fillId="7" borderId="0" xfId="0" applyFont="1" applyFill="1">
      <alignment vertical="center"/>
    </xf>
    <xf numFmtId="0" fontId="19" fillId="7" borderId="3" xfId="2" applyFont="1" applyFill="1" applyBorder="1" applyAlignment="1">
      <alignment horizontal="center" vertical="center"/>
    </xf>
    <xf numFmtId="0" fontId="19" fillId="7" borderId="1" xfId="2" applyFont="1" applyFill="1" applyBorder="1" applyAlignment="1">
      <alignment horizontal="center" vertical="center"/>
    </xf>
    <xf numFmtId="0" fontId="0" fillId="7" borderId="1" xfId="10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8" borderId="3" xfId="2" applyFont="1" applyFill="1" applyBorder="1" applyAlignment="1">
      <alignment horizontal="center" vertical="center"/>
    </xf>
    <xf numFmtId="14" fontId="5" fillId="5" borderId="8" xfId="1" applyNumberFormat="1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5" fillId="0" borderId="8" xfId="1" applyNumberFormat="1" applyFont="1" applyBorder="1" applyAlignment="1">
      <alignment horizontal="center" vertical="center"/>
    </xf>
    <xf numFmtId="0" fontId="5" fillId="5" borderId="8" xfId="3" applyFont="1" applyFill="1" applyBorder="1" applyAlignment="1">
      <alignment horizontal="center" vertical="center"/>
    </xf>
    <xf numFmtId="14" fontId="5" fillId="5" borderId="8" xfId="9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8" fillId="5" borderId="8" xfId="13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9" fillId="0" borderId="8" xfId="9" applyFont="1" applyBorder="1" applyAlignment="1">
      <alignment horizontal="center" vertical="center"/>
    </xf>
    <xf numFmtId="0" fontId="5" fillId="5" borderId="8" xfId="3" applyFont="1" applyFill="1" applyBorder="1" applyAlignment="1">
      <alignment horizontal="center" vertical="center" wrapText="1"/>
    </xf>
    <xf numFmtId="0" fontId="2" fillId="5" borderId="8" xfId="3" applyFont="1" applyFill="1" applyBorder="1" applyAlignment="1">
      <alignment horizontal="center" vertical="center"/>
    </xf>
    <xf numFmtId="0" fontId="0" fillId="0" borderId="8" xfId="14" applyFont="1" applyBorder="1" applyAlignment="1">
      <alignment horizontal="center" vertical="center"/>
    </xf>
    <xf numFmtId="0" fontId="0" fillId="5" borderId="8" xfId="14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 wrapText="1"/>
    </xf>
    <xf numFmtId="14" fontId="5" fillId="5" borderId="8" xfId="0" applyNumberFormat="1" applyFont="1" applyFill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0" fillId="0" borderId="8" xfId="10" applyFont="1" applyBorder="1" applyAlignment="1">
      <alignment horizontal="center" vertical="center"/>
    </xf>
  </cellXfs>
  <cellStyles count="15">
    <cellStyle name="표준" xfId="0" builtinId="0"/>
    <cellStyle name="표준 10" xfId="9" xr:uid="{00000000-0005-0000-0000-000001000000}"/>
    <cellStyle name="표준 11" xfId="10" xr:uid="{00000000-0005-0000-0000-000002000000}"/>
    <cellStyle name="표준 12" xfId="11" xr:uid="{00000000-0005-0000-0000-000003000000}"/>
    <cellStyle name="표준 13" xfId="12" xr:uid="{00000000-0005-0000-0000-000004000000}"/>
    <cellStyle name="표준 14" xfId="13" xr:uid="{00000000-0005-0000-0000-000005000000}"/>
    <cellStyle name="표준 15" xfId="14" xr:uid="{00000000-0005-0000-0000-000006000000}"/>
    <cellStyle name="표준 2" xfId="6" xr:uid="{00000000-0005-0000-0000-000007000000}"/>
    <cellStyle name="표준 3" xfId="1" xr:uid="{00000000-0005-0000-0000-000008000000}"/>
    <cellStyle name="표준 4" xfId="2" xr:uid="{00000000-0005-0000-0000-000009000000}"/>
    <cellStyle name="표준 5" xfId="3" xr:uid="{00000000-0005-0000-0000-00000A000000}"/>
    <cellStyle name="표준 6" xfId="4" xr:uid="{00000000-0005-0000-0000-00000B000000}"/>
    <cellStyle name="표준 7" xfId="5" xr:uid="{00000000-0005-0000-0000-00000C000000}"/>
    <cellStyle name="표준 8" xfId="7" xr:uid="{00000000-0005-0000-0000-00000D000000}"/>
    <cellStyle name="표준 9" xfId="8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1012190</xdr:colOff>
      <xdr:row>0</xdr:row>
      <xdr:rowOff>550545</xdr:rowOff>
    </xdr:to>
    <xdr:pic>
      <xdr:nvPicPr>
        <xdr:cNvPr id="3" name="UL Solutions" descr="UL Solutions">
          <a:extLst>
            <a:ext uri="{FF2B5EF4-FFF2-40B4-BE49-F238E27FC236}">
              <a16:creationId xmlns:a16="http://schemas.microsoft.com/office/drawing/2014/main" id="{F31E33BE-B5F6-4961-82DF-5AEAB376E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57150" y="47625"/>
          <a:ext cx="964565" cy="5029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m, Sanghyuck" id="{52892175-60A6-4047-936A-8A311237DC85}" userId="S::14994@global.ul.com::a3a7b989-d8a7-46a8-abba-063dc2896c8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3-08-09T08:14:31.90" personId="{52892175-60A6-4047-936A-8A311237DC85}" id="{064BE313-4AD8-4E42-9659-1E629B11A8B7}">
    <text>교정필증에 기기번호 틀림(P16271812)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2"/>
  <sheetViews>
    <sheetView showGridLines="0" tabSelected="1" view="pageBreakPreview" zoomScaleNormal="100" zoomScaleSheetLayoutView="100" workbookViewId="0">
      <pane ySplit="2" topLeftCell="A154" activePane="bottomLeft" state="frozen"/>
      <selection pane="bottomLeft" activeCell="F160" sqref="F160"/>
    </sheetView>
  </sheetViews>
  <sheetFormatPr defaultColWidth="8.796875" defaultRowHeight="20.25" customHeight="1" x14ac:dyDescent="0.4"/>
  <cols>
    <col min="1" max="1" width="13.5" style="19" bestFit="1" customWidth="1"/>
    <col min="2" max="2" width="23.59765625" style="19" customWidth="1"/>
    <col min="3" max="3" width="37.3984375" style="19" customWidth="1"/>
    <col min="4" max="5" width="21.3984375" style="19" customWidth="1"/>
    <col min="6" max="6" width="11" style="19" bestFit="1" customWidth="1"/>
    <col min="7" max="7" width="9.19921875" style="19" bestFit="1" customWidth="1"/>
    <col min="8" max="8" width="10.69921875" style="19" customWidth="1"/>
    <col min="9" max="9" width="11" style="19" bestFit="1" customWidth="1"/>
    <col min="10" max="10" width="21.09765625" style="19" customWidth="1"/>
    <col min="11" max="11" width="9.19921875" style="19" bestFit="1" customWidth="1"/>
    <col min="12" max="12" width="25.796875" style="19" bestFit="1" customWidth="1"/>
    <col min="13" max="13" width="16.796875" style="19" customWidth="1"/>
    <col min="14" max="14" width="25.69921875" style="19" customWidth="1"/>
    <col min="15" max="15" width="10.3984375" style="19" customWidth="1"/>
    <col min="16" max="16" width="14.69921875" style="19" bestFit="1" customWidth="1"/>
    <col min="17" max="17" width="15.5" style="19" customWidth="1"/>
    <col min="18" max="16384" width="8.796875" style="18"/>
  </cols>
  <sheetData>
    <row r="1" spans="1:18" customFormat="1" ht="48" customHeight="1" thickBot="1" x14ac:dyDescent="0.45">
      <c r="A1" s="16" t="s">
        <v>682</v>
      </c>
      <c r="B1" s="16" t="s">
        <v>683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7" t="s">
        <v>681</v>
      </c>
    </row>
    <row r="2" spans="1:18" s="1" customFormat="1" ht="30.3" customHeight="1" x14ac:dyDescent="0.4">
      <c r="A2" s="24" t="s">
        <v>209</v>
      </c>
      <c r="B2" s="25" t="s">
        <v>214</v>
      </c>
      <c r="C2" s="26" t="s">
        <v>181</v>
      </c>
      <c r="D2" s="27" t="s">
        <v>686</v>
      </c>
      <c r="E2" s="27" t="s">
        <v>215</v>
      </c>
      <c r="F2" s="28" t="s">
        <v>212</v>
      </c>
      <c r="G2" s="26" t="s">
        <v>207</v>
      </c>
      <c r="H2" s="29" t="s">
        <v>211</v>
      </c>
      <c r="I2" s="26" t="s">
        <v>189</v>
      </c>
      <c r="J2" s="26" t="s">
        <v>182</v>
      </c>
      <c r="K2" s="30" t="s">
        <v>210</v>
      </c>
      <c r="L2" s="26" t="s">
        <v>183</v>
      </c>
      <c r="M2" s="26" t="s">
        <v>184</v>
      </c>
      <c r="N2" s="26" t="s">
        <v>190</v>
      </c>
      <c r="O2" s="26" t="s">
        <v>204</v>
      </c>
      <c r="P2" s="27" t="s">
        <v>213</v>
      </c>
      <c r="Q2" s="31" t="s">
        <v>216</v>
      </c>
    </row>
    <row r="3" spans="1:18" ht="25.05" customHeight="1" x14ac:dyDescent="0.4">
      <c r="A3" s="32" t="s">
        <v>689</v>
      </c>
      <c r="B3" s="20" t="s">
        <v>218</v>
      </c>
      <c r="C3" s="37" t="s">
        <v>219</v>
      </c>
      <c r="D3" s="40" t="s">
        <v>688</v>
      </c>
      <c r="E3" s="40" t="s">
        <v>685</v>
      </c>
      <c r="F3" s="42">
        <v>45502</v>
      </c>
      <c r="G3" s="37" t="s">
        <v>1</v>
      </c>
      <c r="H3" s="37">
        <v>12</v>
      </c>
      <c r="I3" s="43">
        <f>DATE(YEAR(F3)+1,MONTH(F3),DAY(F3))</f>
        <v>45867</v>
      </c>
      <c r="J3" s="37" t="s">
        <v>279</v>
      </c>
      <c r="K3" s="20">
        <v>2017</v>
      </c>
      <c r="L3" s="37" t="s">
        <v>241</v>
      </c>
      <c r="M3" s="37" t="s">
        <v>257</v>
      </c>
      <c r="N3" s="41" t="s">
        <v>268</v>
      </c>
      <c r="O3" s="21" t="s">
        <v>237</v>
      </c>
      <c r="P3" s="22" t="s">
        <v>283</v>
      </c>
      <c r="Q3" s="33" t="s">
        <v>238</v>
      </c>
    </row>
    <row r="4" spans="1:18" ht="25.05" customHeight="1" x14ac:dyDescent="0.4">
      <c r="A4" s="32" t="s">
        <v>690</v>
      </c>
      <c r="B4" s="20" t="s">
        <v>218</v>
      </c>
      <c r="C4" s="37" t="s">
        <v>220</v>
      </c>
      <c r="D4" s="39" t="s">
        <v>687</v>
      </c>
      <c r="E4" s="39" t="s">
        <v>684</v>
      </c>
      <c r="F4" s="42">
        <v>45502</v>
      </c>
      <c r="G4" s="43" t="s">
        <v>1</v>
      </c>
      <c r="H4" s="37">
        <v>12</v>
      </c>
      <c r="I4" s="43">
        <f t="shared" ref="I4:I5" si="0">DATE(YEAR(F4)+1,MONTH(F4),DAY(F4))</f>
        <v>45867</v>
      </c>
      <c r="J4" s="37" t="s">
        <v>279</v>
      </c>
      <c r="K4" s="20">
        <v>2017</v>
      </c>
      <c r="L4" s="37" t="s">
        <v>242</v>
      </c>
      <c r="M4" s="37" t="s">
        <v>258</v>
      </c>
      <c r="N4" s="41" t="s">
        <v>268</v>
      </c>
      <c r="O4" s="21" t="s">
        <v>237</v>
      </c>
      <c r="P4" s="22" t="s">
        <v>283</v>
      </c>
      <c r="Q4" s="33" t="s">
        <v>238</v>
      </c>
    </row>
    <row r="5" spans="1:18" ht="25.05" customHeight="1" x14ac:dyDescent="0.4">
      <c r="A5" s="32" t="s">
        <v>691</v>
      </c>
      <c r="B5" s="20" t="s">
        <v>218</v>
      </c>
      <c r="C5" s="37" t="s">
        <v>221</v>
      </c>
      <c r="D5" s="39" t="s">
        <v>687</v>
      </c>
      <c r="E5" s="39" t="s">
        <v>684</v>
      </c>
      <c r="F5" s="42">
        <v>45502</v>
      </c>
      <c r="G5" s="43" t="s">
        <v>1</v>
      </c>
      <c r="H5" s="37">
        <v>12</v>
      </c>
      <c r="I5" s="43">
        <f t="shared" si="0"/>
        <v>45867</v>
      </c>
      <c r="J5" s="37" t="s">
        <v>279</v>
      </c>
      <c r="K5" s="20">
        <v>2017</v>
      </c>
      <c r="L5" s="37" t="s">
        <v>243</v>
      </c>
      <c r="M5" s="37" t="s">
        <v>259</v>
      </c>
      <c r="N5" s="37" t="s">
        <v>269</v>
      </c>
      <c r="O5" s="21" t="s">
        <v>237</v>
      </c>
      <c r="P5" s="22" t="s">
        <v>283</v>
      </c>
      <c r="Q5" s="33" t="s">
        <v>238</v>
      </c>
    </row>
    <row r="6" spans="1:18" ht="25.05" customHeight="1" x14ac:dyDescent="0.4">
      <c r="A6" s="32" t="s">
        <v>692</v>
      </c>
      <c r="B6" s="20" t="s">
        <v>218</v>
      </c>
      <c r="C6" s="38" t="s">
        <v>222</v>
      </c>
      <c r="D6" s="39" t="s">
        <v>687</v>
      </c>
      <c r="E6" s="39" t="s">
        <v>235</v>
      </c>
      <c r="F6" s="42">
        <v>45502</v>
      </c>
      <c r="G6" s="42" t="s">
        <v>1</v>
      </c>
      <c r="H6" s="38">
        <v>12</v>
      </c>
      <c r="I6" s="43">
        <f t="shared" ref="I6:I8" si="1">DATE(YEAR(F6)+1,MONTH(F6),DAY(F6))</f>
        <v>45867</v>
      </c>
      <c r="J6" s="37" t="s">
        <v>279</v>
      </c>
      <c r="K6" s="20">
        <v>2017</v>
      </c>
      <c r="L6" s="37" t="s">
        <v>244</v>
      </c>
      <c r="M6" s="37" t="s">
        <v>244</v>
      </c>
      <c r="N6" s="37">
        <v>330</v>
      </c>
      <c r="O6" s="21" t="s">
        <v>237</v>
      </c>
      <c r="P6" s="21" t="s">
        <v>239</v>
      </c>
      <c r="Q6" s="33" t="s">
        <v>238</v>
      </c>
      <c r="R6" s="104"/>
    </row>
    <row r="7" spans="1:18" ht="25.05" customHeight="1" x14ac:dyDescent="0.4">
      <c r="A7" s="32" t="s">
        <v>693</v>
      </c>
      <c r="B7" s="20" t="s">
        <v>218</v>
      </c>
      <c r="C7" s="37" t="s">
        <v>223</v>
      </c>
      <c r="D7" s="39" t="s">
        <v>687</v>
      </c>
      <c r="E7" s="39" t="s">
        <v>234</v>
      </c>
      <c r="F7" s="43">
        <v>45499</v>
      </c>
      <c r="G7" s="42" t="s">
        <v>1</v>
      </c>
      <c r="H7" s="38">
        <v>12</v>
      </c>
      <c r="I7" s="43">
        <f t="shared" si="1"/>
        <v>45864</v>
      </c>
      <c r="J7" s="37" t="s">
        <v>279</v>
      </c>
      <c r="K7" s="20">
        <v>2017</v>
      </c>
      <c r="L7" s="37" t="s">
        <v>245</v>
      </c>
      <c r="M7" s="37" t="s">
        <v>260</v>
      </c>
      <c r="N7" s="37" t="s">
        <v>260</v>
      </c>
      <c r="O7" s="21" t="s">
        <v>237</v>
      </c>
      <c r="P7" s="21" t="s">
        <v>240</v>
      </c>
      <c r="Q7" s="33" t="s">
        <v>238</v>
      </c>
    </row>
    <row r="8" spans="1:18" ht="25.05" customHeight="1" x14ac:dyDescent="0.4">
      <c r="A8" s="32" t="s">
        <v>694</v>
      </c>
      <c r="B8" s="20" t="s">
        <v>218</v>
      </c>
      <c r="C8" s="37" t="s">
        <v>224</v>
      </c>
      <c r="D8" s="39" t="s">
        <v>687</v>
      </c>
      <c r="E8" s="39" t="s">
        <v>234</v>
      </c>
      <c r="F8" s="43">
        <v>45499</v>
      </c>
      <c r="G8" s="42" t="s">
        <v>1</v>
      </c>
      <c r="H8" s="38">
        <v>12</v>
      </c>
      <c r="I8" s="43">
        <f t="shared" si="1"/>
        <v>45864</v>
      </c>
      <c r="J8" s="37" t="s">
        <v>279</v>
      </c>
      <c r="K8" s="20">
        <v>2017</v>
      </c>
      <c r="L8" s="37" t="s">
        <v>246</v>
      </c>
      <c r="M8" s="37" t="s">
        <v>260</v>
      </c>
      <c r="N8" s="37" t="s">
        <v>260</v>
      </c>
      <c r="O8" s="21" t="s">
        <v>237</v>
      </c>
      <c r="P8" s="21" t="s">
        <v>240</v>
      </c>
      <c r="Q8" s="33" t="s">
        <v>238</v>
      </c>
    </row>
    <row r="9" spans="1:18" ht="25.05" customHeight="1" x14ac:dyDescent="0.4">
      <c r="A9" s="32" t="s">
        <v>695</v>
      </c>
      <c r="B9" s="20" t="s">
        <v>218</v>
      </c>
      <c r="C9" s="37" t="s">
        <v>225</v>
      </c>
      <c r="D9" s="39" t="s">
        <v>687</v>
      </c>
      <c r="E9" s="39" t="s">
        <v>234</v>
      </c>
      <c r="F9" s="43" t="s">
        <v>186</v>
      </c>
      <c r="G9" s="43" t="s">
        <v>186</v>
      </c>
      <c r="H9" s="37" t="s">
        <v>186</v>
      </c>
      <c r="I9" s="43" t="s">
        <v>186</v>
      </c>
      <c r="J9" s="37" t="s">
        <v>279</v>
      </c>
      <c r="K9" s="20">
        <v>2017</v>
      </c>
      <c r="L9" s="37" t="s">
        <v>247</v>
      </c>
      <c r="M9" s="37" t="s">
        <v>260</v>
      </c>
      <c r="N9" s="37" t="s">
        <v>260</v>
      </c>
      <c r="O9" s="21" t="s">
        <v>237</v>
      </c>
      <c r="P9" s="21" t="s">
        <v>240</v>
      </c>
      <c r="Q9" s="33" t="s">
        <v>238</v>
      </c>
    </row>
    <row r="10" spans="1:18" ht="25.05" customHeight="1" x14ac:dyDescent="0.4">
      <c r="A10" s="32" t="s">
        <v>696</v>
      </c>
      <c r="B10" s="20" t="s">
        <v>218</v>
      </c>
      <c r="C10" s="37" t="s">
        <v>226</v>
      </c>
      <c r="D10" s="40" t="s">
        <v>687</v>
      </c>
      <c r="E10" s="40" t="s">
        <v>235</v>
      </c>
      <c r="F10" s="43">
        <v>45498</v>
      </c>
      <c r="G10" s="43" t="s">
        <v>1</v>
      </c>
      <c r="H10" s="37">
        <v>12</v>
      </c>
      <c r="I10" s="43">
        <f t="shared" ref="I10:I17" si="2">DATE(YEAR(F10)+1,MONTH(F10),DAY(F10))</f>
        <v>45863</v>
      </c>
      <c r="J10" s="38" t="s">
        <v>280</v>
      </c>
      <c r="K10" s="20">
        <v>2017</v>
      </c>
      <c r="L10" s="38" t="s">
        <v>248</v>
      </c>
      <c r="M10" s="37">
        <v>161146</v>
      </c>
      <c r="N10" s="37" t="s">
        <v>270</v>
      </c>
      <c r="O10" s="21" t="s">
        <v>237</v>
      </c>
      <c r="P10" s="21" t="s">
        <v>239</v>
      </c>
      <c r="Q10" s="33" t="s">
        <v>238</v>
      </c>
    </row>
    <row r="11" spans="1:18" ht="25.05" customHeight="1" x14ac:dyDescent="0.4">
      <c r="A11" s="32" t="s">
        <v>697</v>
      </c>
      <c r="B11" s="20" t="s">
        <v>218</v>
      </c>
      <c r="C11" s="37" t="s">
        <v>227</v>
      </c>
      <c r="D11" s="40" t="s">
        <v>687</v>
      </c>
      <c r="E11" s="40" t="s">
        <v>235</v>
      </c>
      <c r="F11" s="43">
        <v>45498</v>
      </c>
      <c r="G11" s="43" t="s">
        <v>1</v>
      </c>
      <c r="H11" s="37">
        <v>12</v>
      </c>
      <c r="I11" s="43">
        <f t="shared" si="2"/>
        <v>45863</v>
      </c>
      <c r="J11" s="38" t="s">
        <v>281</v>
      </c>
      <c r="K11" s="20">
        <v>2017</v>
      </c>
      <c r="L11" s="37" t="s">
        <v>249</v>
      </c>
      <c r="M11" s="37">
        <v>214669</v>
      </c>
      <c r="N11" s="41" t="s">
        <v>271</v>
      </c>
      <c r="O11" s="21" t="s">
        <v>237</v>
      </c>
      <c r="P11" s="21" t="s">
        <v>239</v>
      </c>
      <c r="Q11" s="33" t="s">
        <v>238</v>
      </c>
    </row>
    <row r="12" spans="1:18" ht="25.05" customHeight="1" x14ac:dyDescent="0.4">
      <c r="A12" s="90" t="s">
        <v>698</v>
      </c>
      <c r="B12" s="35" t="s">
        <v>218</v>
      </c>
      <c r="C12" s="37" t="s">
        <v>680</v>
      </c>
      <c r="D12" s="135" t="s">
        <v>687</v>
      </c>
      <c r="E12" s="135" t="s">
        <v>235</v>
      </c>
      <c r="F12" s="43">
        <v>45496</v>
      </c>
      <c r="G12" s="118" t="s">
        <v>1</v>
      </c>
      <c r="H12" s="124">
        <v>12</v>
      </c>
      <c r="I12" s="43">
        <f t="shared" si="2"/>
        <v>45861</v>
      </c>
      <c r="J12" s="124" t="s">
        <v>282</v>
      </c>
      <c r="K12" s="35">
        <v>2017</v>
      </c>
      <c r="L12" s="124" t="s">
        <v>250</v>
      </c>
      <c r="M12" s="124" t="s">
        <v>261</v>
      </c>
      <c r="N12" s="134" t="s">
        <v>272</v>
      </c>
      <c r="O12" s="34" t="s">
        <v>237</v>
      </c>
      <c r="P12" s="34" t="s">
        <v>239</v>
      </c>
      <c r="Q12" s="36" t="s">
        <v>673</v>
      </c>
    </row>
    <row r="13" spans="1:18" ht="25.05" customHeight="1" x14ac:dyDescent="0.4">
      <c r="A13" s="32" t="s">
        <v>699</v>
      </c>
      <c r="B13" s="20" t="s">
        <v>218</v>
      </c>
      <c r="C13" s="37" t="s">
        <v>228</v>
      </c>
      <c r="D13" s="40" t="s">
        <v>687</v>
      </c>
      <c r="E13" s="40" t="s">
        <v>235</v>
      </c>
      <c r="F13" s="43">
        <v>45496</v>
      </c>
      <c r="G13" s="43" t="s">
        <v>1</v>
      </c>
      <c r="H13" s="37">
        <v>12</v>
      </c>
      <c r="I13" s="43">
        <f t="shared" si="2"/>
        <v>45861</v>
      </c>
      <c r="J13" s="37" t="s">
        <v>282</v>
      </c>
      <c r="K13" s="20">
        <v>2017</v>
      </c>
      <c r="L13" s="37" t="s">
        <v>251</v>
      </c>
      <c r="M13" s="37" t="s">
        <v>262</v>
      </c>
      <c r="N13" s="37" t="s">
        <v>273</v>
      </c>
      <c r="O13" s="21" t="s">
        <v>237</v>
      </c>
      <c r="P13" s="21" t="s">
        <v>239</v>
      </c>
      <c r="Q13" s="33" t="s">
        <v>238</v>
      </c>
    </row>
    <row r="14" spans="1:18" ht="25.05" customHeight="1" x14ac:dyDescent="0.4">
      <c r="A14" s="90" t="s">
        <v>700</v>
      </c>
      <c r="B14" s="35" t="s">
        <v>218</v>
      </c>
      <c r="C14" s="124" t="s">
        <v>233</v>
      </c>
      <c r="D14" s="125" t="s">
        <v>687</v>
      </c>
      <c r="E14" s="125" t="s">
        <v>235</v>
      </c>
      <c r="F14" s="43">
        <v>45496</v>
      </c>
      <c r="G14" s="43" t="s">
        <v>1</v>
      </c>
      <c r="H14" s="37">
        <v>12</v>
      </c>
      <c r="I14" s="43">
        <f t="shared" si="2"/>
        <v>45861</v>
      </c>
      <c r="J14" s="124" t="s">
        <v>282</v>
      </c>
      <c r="K14" s="125">
        <v>2017</v>
      </c>
      <c r="L14" s="124" t="s">
        <v>252</v>
      </c>
      <c r="M14" s="124" t="s">
        <v>263</v>
      </c>
      <c r="N14" s="37" t="s">
        <v>274</v>
      </c>
      <c r="O14" s="21" t="s">
        <v>237</v>
      </c>
      <c r="P14" s="34" t="s">
        <v>239</v>
      </c>
      <c r="Q14" s="36" t="s">
        <v>238</v>
      </c>
    </row>
    <row r="15" spans="1:18" s="108" customFormat="1" ht="25.05" customHeight="1" x14ac:dyDescent="0.4">
      <c r="A15" s="109" t="s">
        <v>701</v>
      </c>
      <c r="B15" s="110" t="s">
        <v>218</v>
      </c>
      <c r="C15" s="106" t="s">
        <v>229</v>
      </c>
      <c r="D15" s="111" t="s">
        <v>687</v>
      </c>
      <c r="E15" s="111" t="s">
        <v>235</v>
      </c>
      <c r="F15" s="105">
        <v>45497</v>
      </c>
      <c r="G15" s="105" t="s">
        <v>1</v>
      </c>
      <c r="H15" s="106">
        <v>12</v>
      </c>
      <c r="I15" s="105">
        <f t="shared" si="2"/>
        <v>45862</v>
      </c>
      <c r="J15" s="106" t="s">
        <v>282</v>
      </c>
      <c r="K15" s="110">
        <v>2017</v>
      </c>
      <c r="L15" s="106" t="s">
        <v>253</v>
      </c>
      <c r="M15" s="106" t="s">
        <v>264</v>
      </c>
      <c r="N15" s="112" t="s">
        <v>275</v>
      </c>
      <c r="O15" s="107" t="s">
        <v>237</v>
      </c>
      <c r="P15" s="107" t="s">
        <v>239</v>
      </c>
      <c r="Q15" s="113" t="s">
        <v>238</v>
      </c>
    </row>
    <row r="16" spans="1:18" ht="25.05" customHeight="1" x14ac:dyDescent="0.4">
      <c r="A16" s="32" t="s">
        <v>702</v>
      </c>
      <c r="B16" s="20" t="s">
        <v>218</v>
      </c>
      <c r="C16" s="37" t="s">
        <v>230</v>
      </c>
      <c r="D16" s="40" t="s">
        <v>687</v>
      </c>
      <c r="E16" s="40" t="s">
        <v>235</v>
      </c>
      <c r="F16" s="43">
        <v>45497</v>
      </c>
      <c r="G16" s="43" t="s">
        <v>1</v>
      </c>
      <c r="H16" s="37">
        <v>12</v>
      </c>
      <c r="I16" s="43">
        <f t="shared" si="2"/>
        <v>45862</v>
      </c>
      <c r="J16" s="37" t="s">
        <v>282</v>
      </c>
      <c r="K16" s="20">
        <v>2017</v>
      </c>
      <c r="L16" s="37" t="s">
        <v>254</v>
      </c>
      <c r="M16" s="37" t="s">
        <v>265</v>
      </c>
      <c r="N16" s="41" t="s">
        <v>276</v>
      </c>
      <c r="O16" s="21" t="s">
        <v>237</v>
      </c>
      <c r="P16" s="21" t="s">
        <v>239</v>
      </c>
      <c r="Q16" s="33" t="s">
        <v>238</v>
      </c>
    </row>
    <row r="17" spans="1:20" ht="25.05" customHeight="1" x14ac:dyDescent="0.4">
      <c r="A17" s="32" t="s">
        <v>703</v>
      </c>
      <c r="B17" s="20" t="s">
        <v>218</v>
      </c>
      <c r="C17" s="37" t="s">
        <v>231</v>
      </c>
      <c r="D17" s="40" t="s">
        <v>687</v>
      </c>
      <c r="E17" s="40" t="s">
        <v>235</v>
      </c>
      <c r="F17" s="42">
        <v>45498</v>
      </c>
      <c r="G17" s="43" t="s">
        <v>1</v>
      </c>
      <c r="H17" s="37">
        <v>12</v>
      </c>
      <c r="I17" s="43">
        <f t="shared" si="2"/>
        <v>45863</v>
      </c>
      <c r="J17" s="37" t="s">
        <v>282</v>
      </c>
      <c r="K17" s="20">
        <v>2017</v>
      </c>
      <c r="L17" s="37" t="s">
        <v>255</v>
      </c>
      <c r="M17" s="37" t="s">
        <v>266</v>
      </c>
      <c r="N17" s="41" t="s">
        <v>277</v>
      </c>
      <c r="O17" s="21" t="s">
        <v>237</v>
      </c>
      <c r="P17" s="21" t="s">
        <v>239</v>
      </c>
      <c r="Q17" s="33" t="s">
        <v>238</v>
      </c>
    </row>
    <row r="18" spans="1:20" ht="25.05" customHeight="1" x14ac:dyDescent="0.4">
      <c r="A18" s="32" t="s">
        <v>704</v>
      </c>
      <c r="B18" s="20" t="s">
        <v>218</v>
      </c>
      <c r="C18" s="37" t="s">
        <v>232</v>
      </c>
      <c r="D18" s="39" t="s">
        <v>687</v>
      </c>
      <c r="E18" s="39" t="s">
        <v>234</v>
      </c>
      <c r="F18" s="42" t="s">
        <v>186</v>
      </c>
      <c r="G18" s="43" t="s">
        <v>186</v>
      </c>
      <c r="H18" s="37" t="s">
        <v>186</v>
      </c>
      <c r="I18" s="43" t="s">
        <v>186</v>
      </c>
      <c r="J18" s="37" t="s">
        <v>282</v>
      </c>
      <c r="K18" s="20">
        <v>2017</v>
      </c>
      <c r="L18" s="37" t="s">
        <v>256</v>
      </c>
      <c r="M18" s="37" t="s">
        <v>267</v>
      </c>
      <c r="N18" s="41" t="s">
        <v>278</v>
      </c>
      <c r="O18" s="21" t="s">
        <v>237</v>
      </c>
      <c r="P18" s="21" t="s">
        <v>240</v>
      </c>
      <c r="Q18" s="33" t="s">
        <v>238</v>
      </c>
    </row>
    <row r="19" spans="1:20" ht="25.05" customHeight="1" x14ac:dyDescent="0.4">
      <c r="A19" s="32" t="s">
        <v>705</v>
      </c>
      <c r="B19" s="20" t="s">
        <v>218</v>
      </c>
      <c r="C19" s="37" t="s">
        <v>284</v>
      </c>
      <c r="D19" s="39" t="s">
        <v>687</v>
      </c>
      <c r="E19" s="39" t="s">
        <v>234</v>
      </c>
      <c r="F19" s="42" t="s">
        <v>186</v>
      </c>
      <c r="G19" s="43" t="s">
        <v>186</v>
      </c>
      <c r="H19" s="37" t="s">
        <v>186</v>
      </c>
      <c r="I19" s="43" t="s">
        <v>186</v>
      </c>
      <c r="J19" s="37" t="s">
        <v>282</v>
      </c>
      <c r="K19" s="20">
        <v>2017</v>
      </c>
      <c r="L19" s="37" t="s">
        <v>304</v>
      </c>
      <c r="M19" s="37">
        <v>107283</v>
      </c>
      <c r="N19" s="41" t="s">
        <v>320</v>
      </c>
      <c r="O19" s="48" t="s">
        <v>236</v>
      </c>
      <c r="P19" s="21" t="s">
        <v>240</v>
      </c>
      <c r="Q19" s="33" t="s">
        <v>238</v>
      </c>
    </row>
    <row r="20" spans="1:20" ht="25.05" customHeight="1" x14ac:dyDescent="0.4">
      <c r="A20" s="32" t="s">
        <v>706</v>
      </c>
      <c r="B20" s="20" t="s">
        <v>218</v>
      </c>
      <c r="C20" s="37" t="s">
        <v>285</v>
      </c>
      <c r="D20" s="39" t="s">
        <v>687</v>
      </c>
      <c r="E20" s="39" t="s">
        <v>234</v>
      </c>
      <c r="F20" s="42" t="s">
        <v>186</v>
      </c>
      <c r="G20" s="43" t="s">
        <v>186</v>
      </c>
      <c r="H20" s="37" t="s">
        <v>186</v>
      </c>
      <c r="I20" s="43" t="s">
        <v>186</v>
      </c>
      <c r="J20" s="37" t="s">
        <v>282</v>
      </c>
      <c r="K20" s="20">
        <v>2017</v>
      </c>
      <c r="L20" s="37" t="s">
        <v>305</v>
      </c>
      <c r="M20" s="37" t="s">
        <v>306</v>
      </c>
      <c r="N20" s="41" t="s">
        <v>321</v>
      </c>
      <c r="O20" s="48" t="s">
        <v>236</v>
      </c>
      <c r="P20" s="21" t="s">
        <v>240</v>
      </c>
      <c r="Q20" s="33" t="s">
        <v>238</v>
      </c>
    </row>
    <row r="21" spans="1:20" ht="25.05" customHeight="1" x14ac:dyDescent="0.4">
      <c r="A21" s="32" t="s">
        <v>707</v>
      </c>
      <c r="B21" s="20" t="s">
        <v>218</v>
      </c>
      <c r="C21" s="37" t="s">
        <v>286</v>
      </c>
      <c r="D21" s="39" t="s">
        <v>687</v>
      </c>
      <c r="E21" s="39" t="s">
        <v>684</v>
      </c>
      <c r="F21" s="42">
        <v>45496</v>
      </c>
      <c r="G21" s="43" t="s">
        <v>1</v>
      </c>
      <c r="H21" s="37">
        <v>12</v>
      </c>
      <c r="I21" s="43">
        <f>DATE(YEAR(F21)+1,MONTH(F21),DAY(F21))</f>
        <v>45861</v>
      </c>
      <c r="J21" s="38" t="s">
        <v>301</v>
      </c>
      <c r="K21" s="20">
        <v>2017</v>
      </c>
      <c r="L21" s="37" t="s">
        <v>307</v>
      </c>
      <c r="M21" s="37">
        <v>168884</v>
      </c>
      <c r="N21" s="41" t="s">
        <v>322</v>
      </c>
      <c r="O21" s="48" t="s">
        <v>236</v>
      </c>
      <c r="P21" s="21" t="s">
        <v>239</v>
      </c>
      <c r="Q21" s="33" t="s">
        <v>238</v>
      </c>
    </row>
    <row r="22" spans="1:20" ht="25.05" customHeight="1" x14ac:dyDescent="0.4">
      <c r="A22" s="32" t="s">
        <v>708</v>
      </c>
      <c r="B22" s="20" t="s">
        <v>218</v>
      </c>
      <c r="C22" s="37" t="s">
        <v>287</v>
      </c>
      <c r="D22" s="39" t="s">
        <v>687</v>
      </c>
      <c r="E22" s="39" t="s">
        <v>684</v>
      </c>
      <c r="F22" s="42">
        <v>45497</v>
      </c>
      <c r="G22" s="43" t="s">
        <v>1</v>
      </c>
      <c r="H22" s="37">
        <v>12</v>
      </c>
      <c r="I22" s="43">
        <f t="shared" ref="I22:I23" si="3">DATE(YEAR(F22)+1,MONTH(F22),DAY(F22))</f>
        <v>45862</v>
      </c>
      <c r="J22" s="38" t="s">
        <v>302</v>
      </c>
      <c r="K22" s="20">
        <v>2017</v>
      </c>
      <c r="L22" s="38">
        <v>411</v>
      </c>
      <c r="M22" s="37">
        <v>160659</v>
      </c>
      <c r="N22" s="41" t="s">
        <v>323</v>
      </c>
      <c r="O22" s="48" t="s">
        <v>236</v>
      </c>
      <c r="P22" s="21" t="s">
        <v>239</v>
      </c>
      <c r="Q22" s="33" t="s">
        <v>238</v>
      </c>
    </row>
    <row r="23" spans="1:20" ht="25.05" customHeight="1" x14ac:dyDescent="0.4">
      <c r="A23" s="32" t="s">
        <v>709</v>
      </c>
      <c r="B23" s="20" t="s">
        <v>218</v>
      </c>
      <c r="C23" s="37" t="s">
        <v>288</v>
      </c>
      <c r="D23" s="39" t="s">
        <v>687</v>
      </c>
      <c r="E23" s="39" t="s">
        <v>684</v>
      </c>
      <c r="F23" s="42">
        <v>45499</v>
      </c>
      <c r="G23" s="43" t="s">
        <v>1</v>
      </c>
      <c r="H23" s="37">
        <v>12</v>
      </c>
      <c r="I23" s="43">
        <f t="shared" si="3"/>
        <v>45864</v>
      </c>
      <c r="J23" s="37" t="s">
        <v>303</v>
      </c>
      <c r="K23" s="20">
        <v>2017</v>
      </c>
      <c r="L23" s="37" t="s">
        <v>308</v>
      </c>
      <c r="M23" s="37">
        <v>44676</v>
      </c>
      <c r="N23" s="37" t="s">
        <v>324</v>
      </c>
      <c r="O23" s="48" t="s">
        <v>236</v>
      </c>
      <c r="P23" s="21" t="s">
        <v>239</v>
      </c>
      <c r="Q23" s="33" t="s">
        <v>238</v>
      </c>
    </row>
    <row r="24" spans="1:20" ht="25.05" customHeight="1" x14ac:dyDescent="0.4">
      <c r="A24" s="32" t="s">
        <v>710</v>
      </c>
      <c r="B24" s="20" t="s">
        <v>218</v>
      </c>
      <c r="C24" s="37" t="s">
        <v>289</v>
      </c>
      <c r="D24" s="39" t="s">
        <v>687</v>
      </c>
      <c r="E24" s="39" t="s">
        <v>234</v>
      </c>
      <c r="F24" s="43" t="s">
        <v>186</v>
      </c>
      <c r="G24" s="43" t="s">
        <v>186</v>
      </c>
      <c r="H24" s="37" t="s">
        <v>186</v>
      </c>
      <c r="I24" s="43" t="s">
        <v>186</v>
      </c>
      <c r="J24" s="37" t="s">
        <v>303</v>
      </c>
      <c r="K24" s="20">
        <v>2017</v>
      </c>
      <c r="L24" s="47" t="s">
        <v>309</v>
      </c>
      <c r="M24" s="47">
        <v>44664</v>
      </c>
      <c r="N24" s="37" t="s">
        <v>260</v>
      </c>
      <c r="O24" s="48" t="s">
        <v>236</v>
      </c>
      <c r="P24" s="21" t="s">
        <v>240</v>
      </c>
      <c r="Q24" s="33" t="s">
        <v>238</v>
      </c>
    </row>
    <row r="25" spans="1:20" ht="25.05" customHeight="1" x14ac:dyDescent="0.4">
      <c r="A25" s="32" t="s">
        <v>711</v>
      </c>
      <c r="B25" s="20" t="s">
        <v>218</v>
      </c>
      <c r="C25" s="37" t="s">
        <v>290</v>
      </c>
      <c r="D25" s="39" t="s">
        <v>687</v>
      </c>
      <c r="E25" s="39" t="s">
        <v>684</v>
      </c>
      <c r="F25" s="42">
        <v>45498</v>
      </c>
      <c r="G25" s="43" t="s">
        <v>1</v>
      </c>
      <c r="H25" s="37">
        <v>12</v>
      </c>
      <c r="I25" s="43">
        <f t="shared" ref="I25:I34" si="4">DATE(YEAR(F25)+1,MONTH(F25),DAY(F25))</f>
        <v>45863</v>
      </c>
      <c r="J25" s="37" t="s">
        <v>303</v>
      </c>
      <c r="K25" s="20">
        <v>2017</v>
      </c>
      <c r="L25" s="47" t="s">
        <v>310</v>
      </c>
      <c r="M25" s="47">
        <v>44609</v>
      </c>
      <c r="N25" s="41" t="s">
        <v>325</v>
      </c>
      <c r="O25" s="48" t="s">
        <v>236</v>
      </c>
      <c r="P25" s="21" t="s">
        <v>239</v>
      </c>
      <c r="Q25" s="33" t="s">
        <v>238</v>
      </c>
    </row>
    <row r="26" spans="1:20" ht="25.05" customHeight="1" x14ac:dyDescent="0.4">
      <c r="A26" s="32" t="s">
        <v>712</v>
      </c>
      <c r="B26" s="20" t="s">
        <v>218</v>
      </c>
      <c r="C26" s="37" t="s">
        <v>291</v>
      </c>
      <c r="D26" s="39" t="s">
        <v>687</v>
      </c>
      <c r="E26" s="39" t="s">
        <v>684</v>
      </c>
      <c r="F26" s="42">
        <v>45498</v>
      </c>
      <c r="G26" s="43" t="s">
        <v>1</v>
      </c>
      <c r="H26" s="37">
        <v>12</v>
      </c>
      <c r="I26" s="43">
        <f t="shared" si="4"/>
        <v>45863</v>
      </c>
      <c r="J26" s="37" t="s">
        <v>303</v>
      </c>
      <c r="K26" s="20">
        <v>2017</v>
      </c>
      <c r="L26" s="37" t="s">
        <v>311</v>
      </c>
      <c r="M26" s="37">
        <v>45060</v>
      </c>
      <c r="N26" s="41" t="s">
        <v>326</v>
      </c>
      <c r="O26" s="48" t="s">
        <v>236</v>
      </c>
      <c r="P26" s="21" t="s">
        <v>239</v>
      </c>
      <c r="Q26" s="33" t="s">
        <v>238</v>
      </c>
    </row>
    <row r="27" spans="1:20" ht="25.05" customHeight="1" x14ac:dyDescent="0.4">
      <c r="A27" s="32" t="s">
        <v>713</v>
      </c>
      <c r="B27" s="20" t="s">
        <v>218</v>
      </c>
      <c r="C27" s="37" t="s">
        <v>292</v>
      </c>
      <c r="D27" s="39" t="s">
        <v>687</v>
      </c>
      <c r="E27" s="39" t="s">
        <v>684</v>
      </c>
      <c r="F27" s="42">
        <v>45498</v>
      </c>
      <c r="G27" s="43" t="s">
        <v>1</v>
      </c>
      <c r="H27" s="37">
        <v>12</v>
      </c>
      <c r="I27" s="43">
        <f t="shared" si="4"/>
        <v>45863</v>
      </c>
      <c r="J27" s="37" t="s">
        <v>303</v>
      </c>
      <c r="K27" s="20">
        <v>2017</v>
      </c>
      <c r="L27" s="37" t="s">
        <v>312</v>
      </c>
      <c r="M27" s="37">
        <v>45001</v>
      </c>
      <c r="N27" s="41" t="s">
        <v>327</v>
      </c>
      <c r="O27" s="48" t="s">
        <v>236</v>
      </c>
      <c r="P27" s="21" t="s">
        <v>239</v>
      </c>
      <c r="Q27" s="33" t="s">
        <v>238</v>
      </c>
      <c r="T27" s="18" t="s">
        <v>208</v>
      </c>
    </row>
    <row r="28" spans="1:20" ht="25.05" customHeight="1" x14ac:dyDescent="0.4">
      <c r="A28" s="32" t="s">
        <v>714</v>
      </c>
      <c r="B28" s="20" t="s">
        <v>218</v>
      </c>
      <c r="C28" s="37" t="s">
        <v>293</v>
      </c>
      <c r="D28" s="39" t="s">
        <v>687</v>
      </c>
      <c r="E28" s="39" t="s">
        <v>684</v>
      </c>
      <c r="F28" s="42">
        <v>45498</v>
      </c>
      <c r="G28" s="43" t="s">
        <v>1</v>
      </c>
      <c r="H28" s="37">
        <v>12</v>
      </c>
      <c r="I28" s="43">
        <f t="shared" si="4"/>
        <v>45863</v>
      </c>
      <c r="J28" s="37" t="s">
        <v>303</v>
      </c>
      <c r="K28" s="20">
        <v>2017</v>
      </c>
      <c r="L28" s="37" t="s">
        <v>313</v>
      </c>
      <c r="M28" s="37">
        <v>44938</v>
      </c>
      <c r="N28" s="41" t="s">
        <v>328</v>
      </c>
      <c r="O28" s="48" t="s">
        <v>236</v>
      </c>
      <c r="P28" s="21" t="s">
        <v>239</v>
      </c>
      <c r="Q28" s="33" t="s">
        <v>238</v>
      </c>
    </row>
    <row r="29" spans="1:20" ht="25.05" customHeight="1" x14ac:dyDescent="0.4">
      <c r="A29" s="32" t="s">
        <v>715</v>
      </c>
      <c r="B29" s="20" t="s">
        <v>218</v>
      </c>
      <c r="C29" s="37" t="s">
        <v>294</v>
      </c>
      <c r="D29" s="39" t="s">
        <v>687</v>
      </c>
      <c r="E29" s="39" t="s">
        <v>684</v>
      </c>
      <c r="F29" s="42">
        <v>45498</v>
      </c>
      <c r="G29" s="43" t="s">
        <v>1</v>
      </c>
      <c r="H29" s="37">
        <v>12</v>
      </c>
      <c r="I29" s="43">
        <f t="shared" si="4"/>
        <v>45863</v>
      </c>
      <c r="J29" s="37" t="s">
        <v>303</v>
      </c>
      <c r="K29" s="20">
        <v>2017</v>
      </c>
      <c r="L29" s="37" t="s">
        <v>314</v>
      </c>
      <c r="M29" s="37">
        <v>44478</v>
      </c>
      <c r="N29" s="41" t="s">
        <v>329</v>
      </c>
      <c r="O29" s="48" t="s">
        <v>236</v>
      </c>
      <c r="P29" s="21" t="s">
        <v>239</v>
      </c>
      <c r="Q29" s="33" t="s">
        <v>238</v>
      </c>
    </row>
    <row r="30" spans="1:20" ht="25.05" customHeight="1" x14ac:dyDescent="0.4">
      <c r="A30" s="32" t="s">
        <v>716</v>
      </c>
      <c r="B30" s="20" t="s">
        <v>218</v>
      </c>
      <c r="C30" s="44" t="s">
        <v>295</v>
      </c>
      <c r="D30" s="45" t="s">
        <v>687</v>
      </c>
      <c r="E30" s="45" t="s">
        <v>684</v>
      </c>
      <c r="F30" s="42">
        <v>45498</v>
      </c>
      <c r="G30" s="46" t="s">
        <v>1</v>
      </c>
      <c r="H30" s="44">
        <v>12</v>
      </c>
      <c r="I30" s="43">
        <f t="shared" si="4"/>
        <v>45863</v>
      </c>
      <c r="J30" s="44" t="s">
        <v>303</v>
      </c>
      <c r="K30" s="20">
        <v>2017</v>
      </c>
      <c r="L30" s="44" t="s">
        <v>315</v>
      </c>
      <c r="M30" s="44">
        <v>44737</v>
      </c>
      <c r="N30" s="49" t="s">
        <v>330</v>
      </c>
      <c r="O30" s="48" t="s">
        <v>236</v>
      </c>
      <c r="P30" s="21" t="s">
        <v>239</v>
      </c>
      <c r="Q30" s="33" t="s">
        <v>238</v>
      </c>
    </row>
    <row r="31" spans="1:20" ht="25.05" customHeight="1" x14ac:dyDescent="0.4">
      <c r="A31" s="32" t="s">
        <v>717</v>
      </c>
      <c r="B31" s="20" t="s">
        <v>218</v>
      </c>
      <c r="C31" s="44" t="s">
        <v>296</v>
      </c>
      <c r="D31" s="45" t="s">
        <v>687</v>
      </c>
      <c r="E31" s="45" t="s">
        <v>684</v>
      </c>
      <c r="F31" s="42">
        <v>45498</v>
      </c>
      <c r="G31" s="46" t="s">
        <v>1</v>
      </c>
      <c r="H31" s="44">
        <v>12</v>
      </c>
      <c r="I31" s="43">
        <f t="shared" si="4"/>
        <v>45863</v>
      </c>
      <c r="J31" s="44" t="s">
        <v>303</v>
      </c>
      <c r="K31" s="20">
        <v>2017</v>
      </c>
      <c r="L31" s="44" t="s">
        <v>316</v>
      </c>
      <c r="M31" s="44">
        <v>45102</v>
      </c>
      <c r="N31" s="49" t="s">
        <v>331</v>
      </c>
      <c r="O31" s="48" t="s">
        <v>236</v>
      </c>
      <c r="P31" s="21" t="s">
        <v>239</v>
      </c>
      <c r="Q31" s="33" t="s">
        <v>238</v>
      </c>
    </row>
    <row r="32" spans="1:20" ht="25.05" customHeight="1" x14ac:dyDescent="0.4">
      <c r="A32" s="32" t="s">
        <v>718</v>
      </c>
      <c r="B32" s="20" t="s">
        <v>218</v>
      </c>
      <c r="C32" s="44" t="s">
        <v>297</v>
      </c>
      <c r="D32" s="45" t="s">
        <v>687</v>
      </c>
      <c r="E32" s="45" t="s">
        <v>684</v>
      </c>
      <c r="F32" s="42">
        <v>45498</v>
      </c>
      <c r="G32" s="46" t="s">
        <v>1</v>
      </c>
      <c r="H32" s="44">
        <v>12</v>
      </c>
      <c r="I32" s="43">
        <f t="shared" si="4"/>
        <v>45863</v>
      </c>
      <c r="J32" s="44" t="s">
        <v>303</v>
      </c>
      <c r="K32" s="20">
        <v>2017</v>
      </c>
      <c r="L32" s="44" t="s">
        <v>317</v>
      </c>
      <c r="M32" s="44">
        <v>45019</v>
      </c>
      <c r="N32" s="49" t="s">
        <v>332</v>
      </c>
      <c r="O32" s="48" t="s">
        <v>236</v>
      </c>
      <c r="P32" s="21" t="s">
        <v>239</v>
      </c>
      <c r="Q32" s="33" t="s">
        <v>238</v>
      </c>
    </row>
    <row r="33" spans="1:17" ht="25.05" customHeight="1" x14ac:dyDescent="0.4">
      <c r="A33" s="32" t="s">
        <v>719</v>
      </c>
      <c r="B33" s="20" t="s">
        <v>218</v>
      </c>
      <c r="C33" s="44" t="s">
        <v>298</v>
      </c>
      <c r="D33" s="45" t="s">
        <v>687</v>
      </c>
      <c r="E33" s="45" t="s">
        <v>684</v>
      </c>
      <c r="F33" s="42">
        <v>45498</v>
      </c>
      <c r="G33" s="46" t="s">
        <v>1</v>
      </c>
      <c r="H33" s="44">
        <v>12</v>
      </c>
      <c r="I33" s="43">
        <f t="shared" si="4"/>
        <v>45863</v>
      </c>
      <c r="J33" s="44" t="s">
        <v>303</v>
      </c>
      <c r="K33" s="20">
        <v>2017</v>
      </c>
      <c r="L33" s="44" t="s">
        <v>318</v>
      </c>
      <c r="M33" s="44">
        <v>45030</v>
      </c>
      <c r="N33" s="49" t="s">
        <v>333</v>
      </c>
      <c r="O33" s="48" t="s">
        <v>236</v>
      </c>
      <c r="P33" s="21" t="s">
        <v>239</v>
      </c>
      <c r="Q33" s="33" t="s">
        <v>238</v>
      </c>
    </row>
    <row r="34" spans="1:17" ht="25.05" customHeight="1" x14ac:dyDescent="0.4">
      <c r="A34" s="32" t="s">
        <v>720</v>
      </c>
      <c r="B34" s="20" t="s">
        <v>218</v>
      </c>
      <c r="C34" s="44" t="s">
        <v>299</v>
      </c>
      <c r="D34" s="45" t="s">
        <v>687</v>
      </c>
      <c r="E34" s="45" t="s">
        <v>684</v>
      </c>
      <c r="F34" s="42">
        <v>45498</v>
      </c>
      <c r="G34" s="46" t="s">
        <v>1</v>
      </c>
      <c r="H34" s="44">
        <v>12</v>
      </c>
      <c r="I34" s="43">
        <f t="shared" si="4"/>
        <v>45863</v>
      </c>
      <c r="J34" s="44" t="s">
        <v>303</v>
      </c>
      <c r="K34" s="20">
        <v>2017</v>
      </c>
      <c r="L34" s="44" t="s">
        <v>319</v>
      </c>
      <c r="M34" s="44">
        <v>44955</v>
      </c>
      <c r="N34" s="44" t="s">
        <v>334</v>
      </c>
      <c r="O34" s="48" t="s">
        <v>236</v>
      </c>
      <c r="P34" s="21" t="s">
        <v>239</v>
      </c>
      <c r="Q34" s="33" t="s">
        <v>238</v>
      </c>
    </row>
    <row r="35" spans="1:17" ht="25.05" customHeight="1" x14ac:dyDescent="0.4">
      <c r="A35" s="32" t="s">
        <v>721</v>
      </c>
      <c r="B35" s="20" t="s">
        <v>218</v>
      </c>
      <c r="C35" s="44" t="s">
        <v>300</v>
      </c>
      <c r="D35" s="45" t="s">
        <v>687</v>
      </c>
      <c r="E35" s="45" t="s">
        <v>234</v>
      </c>
      <c r="F35" s="46" t="s">
        <v>186</v>
      </c>
      <c r="G35" s="46" t="s">
        <v>186</v>
      </c>
      <c r="H35" s="44" t="s">
        <v>186</v>
      </c>
      <c r="I35" s="44" t="s">
        <v>186</v>
      </c>
      <c r="J35" s="44" t="s">
        <v>2</v>
      </c>
      <c r="K35" s="20">
        <v>2017</v>
      </c>
      <c r="L35" s="44" t="s">
        <v>260</v>
      </c>
      <c r="M35" s="44" t="s">
        <v>260</v>
      </c>
      <c r="N35" s="44" t="s">
        <v>260</v>
      </c>
      <c r="O35" s="48" t="s">
        <v>335</v>
      </c>
      <c r="P35" s="21" t="s">
        <v>240</v>
      </c>
      <c r="Q35" s="33" t="s">
        <v>238</v>
      </c>
    </row>
    <row r="36" spans="1:17" ht="25.05" customHeight="1" x14ac:dyDescent="0.4">
      <c r="A36" s="32" t="s">
        <v>722</v>
      </c>
      <c r="B36" s="20" t="s">
        <v>218</v>
      </c>
      <c r="C36" s="44" t="s">
        <v>336</v>
      </c>
      <c r="D36" s="45" t="s">
        <v>687</v>
      </c>
      <c r="E36" s="45" t="s">
        <v>234</v>
      </c>
      <c r="F36" s="46" t="s">
        <v>186</v>
      </c>
      <c r="G36" s="44" t="s">
        <v>186</v>
      </c>
      <c r="H36" s="44" t="s">
        <v>186</v>
      </c>
      <c r="I36" s="46" t="s">
        <v>186</v>
      </c>
      <c r="J36" s="44" t="s">
        <v>2</v>
      </c>
      <c r="K36" s="20">
        <v>2017</v>
      </c>
      <c r="L36" s="44" t="s">
        <v>353</v>
      </c>
      <c r="M36" s="44" t="s">
        <v>260</v>
      </c>
      <c r="N36" s="44" t="s">
        <v>260</v>
      </c>
      <c r="O36" s="48" t="s">
        <v>335</v>
      </c>
      <c r="P36" s="21" t="s">
        <v>240</v>
      </c>
      <c r="Q36" s="33" t="s">
        <v>238</v>
      </c>
    </row>
    <row r="37" spans="1:17" ht="25.05" customHeight="1" x14ac:dyDescent="0.4">
      <c r="A37" s="32" t="s">
        <v>723</v>
      </c>
      <c r="B37" s="20" t="s">
        <v>218</v>
      </c>
      <c r="C37" s="44" t="s">
        <v>337</v>
      </c>
      <c r="D37" s="45" t="s">
        <v>687</v>
      </c>
      <c r="E37" s="45" t="s">
        <v>234</v>
      </c>
      <c r="F37" s="46" t="s">
        <v>186</v>
      </c>
      <c r="G37" s="44" t="s">
        <v>186</v>
      </c>
      <c r="H37" s="44" t="s">
        <v>186</v>
      </c>
      <c r="I37" s="46" t="s">
        <v>186</v>
      </c>
      <c r="J37" s="44" t="s">
        <v>2</v>
      </c>
      <c r="K37" s="20">
        <v>2017</v>
      </c>
      <c r="L37" s="44" t="s">
        <v>354</v>
      </c>
      <c r="M37" s="44" t="s">
        <v>355</v>
      </c>
      <c r="N37" s="44" t="s">
        <v>260</v>
      </c>
      <c r="O37" s="48" t="s">
        <v>335</v>
      </c>
      <c r="P37" s="21" t="s">
        <v>240</v>
      </c>
      <c r="Q37" s="33" t="s">
        <v>238</v>
      </c>
    </row>
    <row r="38" spans="1:17" ht="25.05" customHeight="1" x14ac:dyDescent="0.4">
      <c r="A38" s="32" t="s">
        <v>724</v>
      </c>
      <c r="B38" s="20" t="s">
        <v>218</v>
      </c>
      <c r="C38" s="44" t="s">
        <v>337</v>
      </c>
      <c r="D38" s="45" t="s">
        <v>687</v>
      </c>
      <c r="E38" s="45" t="s">
        <v>234</v>
      </c>
      <c r="F38" s="46" t="s">
        <v>186</v>
      </c>
      <c r="G38" s="44" t="s">
        <v>186</v>
      </c>
      <c r="H38" s="44" t="s">
        <v>186</v>
      </c>
      <c r="I38" s="46" t="s">
        <v>186</v>
      </c>
      <c r="J38" s="44" t="s">
        <v>2</v>
      </c>
      <c r="K38" s="20">
        <v>2017</v>
      </c>
      <c r="L38" s="44" t="s">
        <v>356</v>
      </c>
      <c r="M38" s="44" t="s">
        <v>357</v>
      </c>
      <c r="N38" s="44" t="s">
        <v>260</v>
      </c>
      <c r="O38" s="48" t="s">
        <v>335</v>
      </c>
      <c r="P38" s="21" t="s">
        <v>240</v>
      </c>
      <c r="Q38" s="33" t="s">
        <v>238</v>
      </c>
    </row>
    <row r="39" spans="1:17" ht="25.05" customHeight="1" x14ac:dyDescent="0.4">
      <c r="A39" s="32" t="s">
        <v>725</v>
      </c>
      <c r="B39" s="20" t="s">
        <v>218</v>
      </c>
      <c r="C39" s="44" t="s">
        <v>338</v>
      </c>
      <c r="D39" s="45" t="s">
        <v>687</v>
      </c>
      <c r="E39" s="45" t="s">
        <v>234</v>
      </c>
      <c r="F39" s="46" t="s">
        <v>186</v>
      </c>
      <c r="G39" s="44" t="s">
        <v>186</v>
      </c>
      <c r="H39" s="44" t="s">
        <v>186</v>
      </c>
      <c r="I39" s="46" t="s">
        <v>186</v>
      </c>
      <c r="J39" s="44" t="s">
        <v>2</v>
      </c>
      <c r="K39" s="20">
        <v>2017</v>
      </c>
      <c r="L39" s="44" t="s">
        <v>358</v>
      </c>
      <c r="M39" s="44" t="s">
        <v>359</v>
      </c>
      <c r="N39" s="44" t="s">
        <v>260</v>
      </c>
      <c r="O39" s="48" t="s">
        <v>335</v>
      </c>
      <c r="P39" s="21" t="s">
        <v>240</v>
      </c>
      <c r="Q39" s="33" t="s">
        <v>238</v>
      </c>
    </row>
    <row r="40" spans="1:17" ht="25.05" customHeight="1" x14ac:dyDescent="0.4">
      <c r="A40" s="32" t="s">
        <v>726</v>
      </c>
      <c r="B40" s="20" t="s">
        <v>218</v>
      </c>
      <c r="C40" s="44" t="s">
        <v>339</v>
      </c>
      <c r="D40" s="45" t="s">
        <v>687</v>
      </c>
      <c r="E40" s="45" t="s">
        <v>684</v>
      </c>
      <c r="F40" s="42">
        <v>45510</v>
      </c>
      <c r="G40" s="46" t="s">
        <v>1</v>
      </c>
      <c r="H40" s="44">
        <v>12</v>
      </c>
      <c r="I40" s="43">
        <f>DATE(YEAR(F40)+1,MONTH(F40),DAY(F40))</f>
        <v>45875</v>
      </c>
      <c r="J40" s="44" t="s">
        <v>348</v>
      </c>
      <c r="K40" s="20">
        <v>2017</v>
      </c>
      <c r="L40" s="44" t="s">
        <v>652</v>
      </c>
      <c r="M40" s="44" t="s">
        <v>360</v>
      </c>
      <c r="N40" s="44" t="s">
        <v>378</v>
      </c>
      <c r="O40" s="21" t="s">
        <v>237</v>
      </c>
      <c r="P40" s="21" t="s">
        <v>239</v>
      </c>
      <c r="Q40" s="33" t="s">
        <v>238</v>
      </c>
    </row>
    <row r="41" spans="1:17" ht="25.05" customHeight="1" x14ac:dyDescent="0.4">
      <c r="A41" s="32" t="s">
        <v>727</v>
      </c>
      <c r="B41" s="20" t="s">
        <v>218</v>
      </c>
      <c r="C41" s="44" t="s">
        <v>340</v>
      </c>
      <c r="D41" s="45" t="s">
        <v>687</v>
      </c>
      <c r="E41" s="45" t="s">
        <v>684</v>
      </c>
      <c r="F41" s="42">
        <v>45502</v>
      </c>
      <c r="G41" s="46" t="s">
        <v>1</v>
      </c>
      <c r="H41" s="44">
        <v>12</v>
      </c>
      <c r="I41" s="43">
        <f t="shared" ref="I41:I46" si="5">DATE(YEAR(F41)+1,MONTH(F41),DAY(F41))</f>
        <v>45867</v>
      </c>
      <c r="J41" s="44" t="s">
        <v>348</v>
      </c>
      <c r="K41" s="20">
        <v>2017</v>
      </c>
      <c r="L41" s="44" t="s">
        <v>361</v>
      </c>
      <c r="M41" s="44" t="s">
        <v>362</v>
      </c>
      <c r="N41" s="49" t="s">
        <v>379</v>
      </c>
      <c r="O41" s="21" t="s">
        <v>237</v>
      </c>
      <c r="P41" s="21" t="s">
        <v>239</v>
      </c>
      <c r="Q41" s="33" t="s">
        <v>238</v>
      </c>
    </row>
    <row r="42" spans="1:17" ht="25.05" customHeight="1" x14ac:dyDescent="0.4">
      <c r="A42" s="32" t="s">
        <v>728</v>
      </c>
      <c r="B42" s="20" t="s">
        <v>218</v>
      </c>
      <c r="C42" s="44" t="s">
        <v>341</v>
      </c>
      <c r="D42" s="45" t="s">
        <v>687</v>
      </c>
      <c r="E42" s="45" t="s">
        <v>684</v>
      </c>
      <c r="F42" s="42">
        <v>45502</v>
      </c>
      <c r="G42" s="46" t="s">
        <v>1</v>
      </c>
      <c r="H42" s="44">
        <v>12</v>
      </c>
      <c r="I42" s="43">
        <f t="shared" si="5"/>
        <v>45867</v>
      </c>
      <c r="J42" s="44" t="s">
        <v>348</v>
      </c>
      <c r="K42" s="20">
        <v>2017</v>
      </c>
      <c r="L42" s="44" t="s">
        <v>363</v>
      </c>
      <c r="M42" s="44" t="s">
        <v>364</v>
      </c>
      <c r="N42" s="49" t="s">
        <v>380</v>
      </c>
      <c r="O42" s="21" t="s">
        <v>237</v>
      </c>
      <c r="P42" s="21" t="s">
        <v>239</v>
      </c>
      <c r="Q42" s="33" t="s">
        <v>238</v>
      </c>
    </row>
    <row r="43" spans="1:17" ht="25.05" customHeight="1" x14ac:dyDescent="0.4">
      <c r="A43" s="32" t="s">
        <v>729</v>
      </c>
      <c r="B43" s="20" t="s">
        <v>218</v>
      </c>
      <c r="C43" s="44" t="s">
        <v>22</v>
      </c>
      <c r="D43" s="45" t="s">
        <v>687</v>
      </c>
      <c r="E43" s="45" t="s">
        <v>684</v>
      </c>
      <c r="F43" s="54">
        <v>45498</v>
      </c>
      <c r="G43" s="46" t="s">
        <v>1</v>
      </c>
      <c r="H43" s="44">
        <v>12</v>
      </c>
      <c r="I43" s="43">
        <f t="shared" si="5"/>
        <v>45863</v>
      </c>
      <c r="J43" s="44" t="s">
        <v>349</v>
      </c>
      <c r="K43" s="20">
        <v>2017</v>
      </c>
      <c r="L43" s="44" t="s">
        <v>365</v>
      </c>
      <c r="M43" s="44">
        <v>113804</v>
      </c>
      <c r="N43" s="44" t="s">
        <v>381</v>
      </c>
      <c r="O43" s="34" t="s">
        <v>391</v>
      </c>
      <c r="P43" s="21" t="s">
        <v>239</v>
      </c>
      <c r="Q43" s="33" t="s">
        <v>238</v>
      </c>
    </row>
    <row r="44" spans="1:17" ht="25.05" customHeight="1" x14ac:dyDescent="0.4">
      <c r="A44" s="32" t="s">
        <v>730</v>
      </c>
      <c r="B44" s="20" t="s">
        <v>218</v>
      </c>
      <c r="C44" s="44" t="s">
        <v>342</v>
      </c>
      <c r="D44" s="45" t="s">
        <v>687</v>
      </c>
      <c r="E44" s="45" t="s">
        <v>684</v>
      </c>
      <c r="F44" s="54">
        <v>45498</v>
      </c>
      <c r="G44" s="46" t="s">
        <v>1</v>
      </c>
      <c r="H44" s="44">
        <v>12</v>
      </c>
      <c r="I44" s="43">
        <f t="shared" si="5"/>
        <v>45863</v>
      </c>
      <c r="J44" s="44" t="s">
        <v>349</v>
      </c>
      <c r="K44" s="20">
        <v>2017</v>
      </c>
      <c r="L44" s="44" t="s">
        <v>366</v>
      </c>
      <c r="M44" s="44">
        <v>105575</v>
      </c>
      <c r="N44" s="44" t="s">
        <v>382</v>
      </c>
      <c r="O44" s="34" t="s">
        <v>391</v>
      </c>
      <c r="P44" s="21" t="s">
        <v>239</v>
      </c>
      <c r="Q44" s="33" t="s">
        <v>238</v>
      </c>
    </row>
    <row r="45" spans="1:17" ht="25.05" customHeight="1" x14ac:dyDescent="0.4">
      <c r="A45" s="32" t="s">
        <v>731</v>
      </c>
      <c r="B45" s="20" t="s">
        <v>218</v>
      </c>
      <c r="C45" s="50" t="s">
        <v>85</v>
      </c>
      <c r="D45" s="53" t="s">
        <v>687</v>
      </c>
      <c r="E45" s="53" t="s">
        <v>684</v>
      </c>
      <c r="F45" s="54">
        <v>45498</v>
      </c>
      <c r="G45" s="55" t="s">
        <v>1</v>
      </c>
      <c r="H45" s="50">
        <v>12</v>
      </c>
      <c r="I45" s="43">
        <f t="shared" si="5"/>
        <v>45863</v>
      </c>
      <c r="J45" s="50" t="s">
        <v>349</v>
      </c>
      <c r="K45" s="20">
        <v>2017</v>
      </c>
      <c r="L45" s="50" t="s">
        <v>367</v>
      </c>
      <c r="M45" s="50">
        <v>101019</v>
      </c>
      <c r="N45" s="57" t="s">
        <v>383</v>
      </c>
      <c r="O45" s="34" t="s">
        <v>391</v>
      </c>
      <c r="P45" s="21" t="s">
        <v>239</v>
      </c>
      <c r="Q45" s="33" t="s">
        <v>238</v>
      </c>
    </row>
    <row r="46" spans="1:17" ht="25.05" customHeight="1" x14ac:dyDescent="0.4">
      <c r="A46" s="32" t="s">
        <v>732</v>
      </c>
      <c r="B46" s="20" t="s">
        <v>218</v>
      </c>
      <c r="C46" s="50" t="s">
        <v>85</v>
      </c>
      <c r="D46" s="53" t="s">
        <v>687</v>
      </c>
      <c r="E46" s="53" t="s">
        <v>684</v>
      </c>
      <c r="F46" s="54">
        <v>45498</v>
      </c>
      <c r="G46" s="55" t="s">
        <v>1</v>
      </c>
      <c r="H46" s="50">
        <v>12</v>
      </c>
      <c r="I46" s="43">
        <f t="shared" si="5"/>
        <v>45863</v>
      </c>
      <c r="J46" s="50" t="s">
        <v>349</v>
      </c>
      <c r="K46" s="20">
        <v>2017</v>
      </c>
      <c r="L46" s="50" t="s">
        <v>367</v>
      </c>
      <c r="M46" s="50">
        <v>101020</v>
      </c>
      <c r="N46" s="57" t="s">
        <v>383</v>
      </c>
      <c r="O46" s="34" t="s">
        <v>391</v>
      </c>
      <c r="P46" s="21" t="s">
        <v>239</v>
      </c>
      <c r="Q46" s="33" t="s">
        <v>238</v>
      </c>
    </row>
    <row r="47" spans="1:17" ht="25.05" customHeight="1" x14ac:dyDescent="0.4">
      <c r="A47" s="32" t="s">
        <v>733</v>
      </c>
      <c r="B47" s="20" t="s">
        <v>218</v>
      </c>
      <c r="C47" s="50" t="s">
        <v>343</v>
      </c>
      <c r="D47" s="53" t="s">
        <v>687</v>
      </c>
      <c r="E47" s="53" t="s">
        <v>234</v>
      </c>
      <c r="F47" s="55" t="s">
        <v>186</v>
      </c>
      <c r="G47" s="55" t="s">
        <v>186</v>
      </c>
      <c r="H47" s="50" t="s">
        <v>186</v>
      </c>
      <c r="I47" s="44" t="s">
        <v>186</v>
      </c>
      <c r="J47" s="50" t="s">
        <v>349</v>
      </c>
      <c r="K47" s="20">
        <v>2017</v>
      </c>
      <c r="L47" s="50" t="s">
        <v>368</v>
      </c>
      <c r="M47" s="50">
        <v>101741</v>
      </c>
      <c r="N47" s="50" t="s">
        <v>384</v>
      </c>
      <c r="O47" s="34" t="s">
        <v>391</v>
      </c>
      <c r="P47" s="34" t="s">
        <v>240</v>
      </c>
      <c r="Q47" s="33" t="s">
        <v>238</v>
      </c>
    </row>
    <row r="48" spans="1:17" ht="25.05" customHeight="1" x14ac:dyDescent="0.4">
      <c r="A48" s="32" t="s">
        <v>734</v>
      </c>
      <c r="B48" s="20" t="s">
        <v>218</v>
      </c>
      <c r="C48" s="51" t="s">
        <v>344</v>
      </c>
      <c r="D48" s="53" t="s">
        <v>687</v>
      </c>
      <c r="E48" s="53" t="s">
        <v>234</v>
      </c>
      <c r="F48" s="55" t="s">
        <v>186</v>
      </c>
      <c r="G48" s="55" t="s">
        <v>186</v>
      </c>
      <c r="H48" s="50" t="s">
        <v>186</v>
      </c>
      <c r="I48" s="44" t="s">
        <v>186</v>
      </c>
      <c r="J48" s="51" t="s">
        <v>349</v>
      </c>
      <c r="K48" s="20">
        <v>2017</v>
      </c>
      <c r="L48" s="51" t="s">
        <v>369</v>
      </c>
      <c r="M48" s="58" t="s">
        <v>370</v>
      </c>
      <c r="N48" s="51" t="s">
        <v>385</v>
      </c>
      <c r="O48" s="34" t="s">
        <v>391</v>
      </c>
      <c r="P48" s="34" t="s">
        <v>239</v>
      </c>
      <c r="Q48" s="33" t="s">
        <v>238</v>
      </c>
    </row>
    <row r="49" spans="1:18" ht="25.05" customHeight="1" x14ac:dyDescent="0.4">
      <c r="A49" s="90" t="s">
        <v>735</v>
      </c>
      <c r="B49" s="82" t="s">
        <v>575</v>
      </c>
      <c r="C49" s="127" t="s">
        <v>347</v>
      </c>
      <c r="D49" s="123" t="s">
        <v>687</v>
      </c>
      <c r="E49" s="123" t="s">
        <v>684</v>
      </c>
      <c r="F49" s="116">
        <v>45505</v>
      </c>
      <c r="G49" s="120" t="s">
        <v>1</v>
      </c>
      <c r="H49" s="119">
        <v>12</v>
      </c>
      <c r="I49" s="116">
        <f t="shared" ref="I49" si="6">DATE(YEAR(F49)+1,MONTH(F49),DAY(F49))</f>
        <v>45870</v>
      </c>
      <c r="J49" s="119" t="s">
        <v>350</v>
      </c>
      <c r="K49" s="82">
        <v>2017</v>
      </c>
      <c r="L49" s="119" t="s">
        <v>371</v>
      </c>
      <c r="M49" s="119">
        <v>347129</v>
      </c>
      <c r="N49" s="126" t="s">
        <v>386</v>
      </c>
      <c r="O49" s="87" t="s">
        <v>391</v>
      </c>
      <c r="P49" s="87" t="s">
        <v>239</v>
      </c>
      <c r="Q49" s="84" t="s">
        <v>238</v>
      </c>
    </row>
    <row r="50" spans="1:18" ht="25.05" customHeight="1" x14ac:dyDescent="0.4">
      <c r="A50" s="32" t="s">
        <v>736</v>
      </c>
      <c r="B50" s="20" t="s">
        <v>218</v>
      </c>
      <c r="C50" s="50" t="s">
        <v>345</v>
      </c>
      <c r="D50" s="53" t="s">
        <v>687</v>
      </c>
      <c r="E50" s="53" t="s">
        <v>234</v>
      </c>
      <c r="F50" s="55" t="s">
        <v>186</v>
      </c>
      <c r="G50" s="55" t="s">
        <v>186</v>
      </c>
      <c r="H50" s="50" t="s">
        <v>186</v>
      </c>
      <c r="I50" s="44" t="s">
        <v>186</v>
      </c>
      <c r="J50" s="50" t="s">
        <v>351</v>
      </c>
      <c r="K50" s="20">
        <v>2017</v>
      </c>
      <c r="L50" s="50" t="s">
        <v>372</v>
      </c>
      <c r="M50" s="50" t="s">
        <v>260</v>
      </c>
      <c r="N50" s="50" t="s">
        <v>387</v>
      </c>
      <c r="O50" s="34" t="s">
        <v>391</v>
      </c>
      <c r="P50" s="34" t="s">
        <v>240</v>
      </c>
      <c r="Q50" s="33" t="s">
        <v>238</v>
      </c>
    </row>
    <row r="51" spans="1:18" ht="25.05" customHeight="1" x14ac:dyDescent="0.4">
      <c r="A51" s="32" t="s">
        <v>737</v>
      </c>
      <c r="B51" s="20" t="s">
        <v>218</v>
      </c>
      <c r="C51" s="50" t="s">
        <v>338</v>
      </c>
      <c r="D51" s="53" t="s">
        <v>687</v>
      </c>
      <c r="E51" s="53" t="s">
        <v>234</v>
      </c>
      <c r="F51" s="55" t="s">
        <v>186</v>
      </c>
      <c r="G51" s="55" t="s">
        <v>186</v>
      </c>
      <c r="H51" s="50" t="s">
        <v>186</v>
      </c>
      <c r="I51" s="44" t="s">
        <v>186</v>
      </c>
      <c r="J51" s="50" t="s">
        <v>351</v>
      </c>
      <c r="K51" s="20">
        <v>2017</v>
      </c>
      <c r="L51" s="50" t="s">
        <v>373</v>
      </c>
      <c r="M51" s="50" t="s">
        <v>374</v>
      </c>
      <c r="N51" s="50" t="s">
        <v>338</v>
      </c>
      <c r="O51" s="34" t="s">
        <v>391</v>
      </c>
      <c r="P51" s="34" t="s">
        <v>240</v>
      </c>
      <c r="Q51" s="33" t="s">
        <v>238</v>
      </c>
    </row>
    <row r="52" spans="1:18" ht="25.05" customHeight="1" x14ac:dyDescent="0.4">
      <c r="A52" s="32" t="s">
        <v>738</v>
      </c>
      <c r="B52" s="20" t="s">
        <v>218</v>
      </c>
      <c r="C52" s="50" t="s">
        <v>346</v>
      </c>
      <c r="D52" s="53" t="s">
        <v>687</v>
      </c>
      <c r="E52" s="53" t="s">
        <v>234</v>
      </c>
      <c r="F52" s="55" t="s">
        <v>186</v>
      </c>
      <c r="G52" s="55" t="s">
        <v>186</v>
      </c>
      <c r="H52" s="50" t="s">
        <v>186</v>
      </c>
      <c r="I52" s="44" t="s">
        <v>186</v>
      </c>
      <c r="J52" s="50" t="s">
        <v>352</v>
      </c>
      <c r="K52" s="20">
        <v>2017</v>
      </c>
      <c r="L52" s="50" t="s">
        <v>375</v>
      </c>
      <c r="M52" s="50" t="s">
        <v>376</v>
      </c>
      <c r="N52" s="50" t="s">
        <v>388</v>
      </c>
      <c r="O52" s="34" t="s">
        <v>391</v>
      </c>
      <c r="P52" s="34" t="s">
        <v>240</v>
      </c>
      <c r="Q52" s="33" t="s">
        <v>238</v>
      </c>
    </row>
    <row r="53" spans="1:18" ht="25.05" customHeight="1" x14ac:dyDescent="0.4">
      <c r="A53" s="32" t="s">
        <v>739</v>
      </c>
      <c r="B53" s="20" t="s">
        <v>218</v>
      </c>
      <c r="C53" s="52" t="s">
        <v>9</v>
      </c>
      <c r="D53" s="53" t="s">
        <v>687</v>
      </c>
      <c r="E53" s="53" t="s">
        <v>684</v>
      </c>
      <c r="F53" s="42">
        <v>45497</v>
      </c>
      <c r="G53" s="56" t="s">
        <v>1</v>
      </c>
      <c r="H53" s="52">
        <v>12</v>
      </c>
      <c r="I53" s="43">
        <f t="shared" ref="I53:I54" si="7">DATE(YEAR(F53)+1,MONTH(F53),DAY(F53))</f>
        <v>45862</v>
      </c>
      <c r="J53" s="50" t="s">
        <v>10</v>
      </c>
      <c r="K53" s="20">
        <v>2017</v>
      </c>
      <c r="L53" s="50" t="s">
        <v>11</v>
      </c>
      <c r="M53" s="50" t="s">
        <v>377</v>
      </c>
      <c r="N53" s="50" t="s">
        <v>389</v>
      </c>
      <c r="O53" s="34" t="s">
        <v>237</v>
      </c>
      <c r="P53" s="34" t="s">
        <v>239</v>
      </c>
      <c r="Q53" s="33" t="s">
        <v>238</v>
      </c>
    </row>
    <row r="54" spans="1:18" ht="25.05" customHeight="1" x14ac:dyDescent="0.4">
      <c r="A54" s="32" t="s">
        <v>740</v>
      </c>
      <c r="B54" s="20" t="s">
        <v>218</v>
      </c>
      <c r="C54" s="52" t="s">
        <v>9</v>
      </c>
      <c r="D54" s="53" t="s">
        <v>687</v>
      </c>
      <c r="E54" s="53" t="s">
        <v>684</v>
      </c>
      <c r="F54" s="42">
        <v>45497</v>
      </c>
      <c r="G54" s="56" t="s">
        <v>1</v>
      </c>
      <c r="H54" s="52">
        <v>12</v>
      </c>
      <c r="I54" s="43">
        <f t="shared" si="7"/>
        <v>45862</v>
      </c>
      <c r="J54" s="50" t="s">
        <v>10</v>
      </c>
      <c r="K54" s="20">
        <v>2017</v>
      </c>
      <c r="L54" s="50" t="s">
        <v>11</v>
      </c>
      <c r="M54" s="50" t="s">
        <v>395</v>
      </c>
      <c r="N54" s="50" t="s">
        <v>389</v>
      </c>
      <c r="O54" s="34" t="s">
        <v>237</v>
      </c>
      <c r="P54" s="34" t="s">
        <v>239</v>
      </c>
      <c r="Q54" s="33" t="s">
        <v>238</v>
      </c>
    </row>
    <row r="55" spans="1:18" ht="25.05" customHeight="1" x14ac:dyDescent="0.4">
      <c r="A55" s="32" t="s">
        <v>741</v>
      </c>
      <c r="B55" s="20" t="s">
        <v>218</v>
      </c>
      <c r="C55" s="51" t="s">
        <v>392</v>
      </c>
      <c r="D55" s="53" t="s">
        <v>687</v>
      </c>
      <c r="E55" s="53" t="s">
        <v>684</v>
      </c>
      <c r="F55" s="42">
        <v>45497</v>
      </c>
      <c r="G55" s="59" t="s">
        <v>1</v>
      </c>
      <c r="H55" s="51">
        <v>12</v>
      </c>
      <c r="I55" s="43">
        <f t="shared" ref="I55" si="8">DATE(YEAR(F55)+1,MONTH(F55),DAY(F55))</f>
        <v>45862</v>
      </c>
      <c r="J55" s="51" t="s">
        <v>349</v>
      </c>
      <c r="K55" s="20">
        <v>2017</v>
      </c>
      <c r="L55" s="51" t="s">
        <v>394</v>
      </c>
      <c r="M55" s="51">
        <v>100716</v>
      </c>
      <c r="N55" s="60" t="s">
        <v>396</v>
      </c>
      <c r="O55" s="34" t="s">
        <v>237</v>
      </c>
      <c r="P55" s="34" t="s">
        <v>239</v>
      </c>
      <c r="Q55" s="36" t="s">
        <v>238</v>
      </c>
    </row>
    <row r="56" spans="1:18" ht="25.05" customHeight="1" x14ac:dyDescent="0.4">
      <c r="A56" s="32" t="s">
        <v>742</v>
      </c>
      <c r="B56" s="20" t="s">
        <v>218</v>
      </c>
      <c r="C56" s="51" t="s">
        <v>397</v>
      </c>
      <c r="D56" s="53" t="s">
        <v>687</v>
      </c>
      <c r="E56" s="53" t="s">
        <v>234</v>
      </c>
      <c r="F56" s="59" t="s">
        <v>186</v>
      </c>
      <c r="G56" s="59" t="s">
        <v>186</v>
      </c>
      <c r="H56" s="51" t="s">
        <v>186</v>
      </c>
      <c r="I56" s="44" t="s">
        <v>186</v>
      </c>
      <c r="J56" s="51" t="s">
        <v>349</v>
      </c>
      <c r="K56" s="20">
        <v>2017</v>
      </c>
      <c r="L56" s="51" t="s">
        <v>369</v>
      </c>
      <c r="M56" s="51">
        <v>102143</v>
      </c>
      <c r="N56" s="35" t="s">
        <v>425</v>
      </c>
      <c r="O56" s="67" t="s">
        <v>390</v>
      </c>
      <c r="P56" s="34" t="s">
        <v>239</v>
      </c>
      <c r="Q56" s="36" t="s">
        <v>238</v>
      </c>
    </row>
    <row r="57" spans="1:18" ht="25.05" customHeight="1" x14ac:dyDescent="0.4">
      <c r="A57" s="32" t="s">
        <v>743</v>
      </c>
      <c r="B57" s="20" t="s">
        <v>218</v>
      </c>
      <c r="C57" s="58" t="s">
        <v>398</v>
      </c>
      <c r="D57" s="53" t="s">
        <v>687</v>
      </c>
      <c r="E57" s="53" t="s">
        <v>684</v>
      </c>
      <c r="F57" s="42">
        <v>45496</v>
      </c>
      <c r="G57" s="65" t="s">
        <v>1</v>
      </c>
      <c r="H57" s="52">
        <v>12</v>
      </c>
      <c r="I57" s="43">
        <f t="shared" ref="I57" si="9">DATE(YEAR(F57)+1,MONTH(F57),DAY(F57))</f>
        <v>45861</v>
      </c>
      <c r="J57" s="51" t="s">
        <v>408</v>
      </c>
      <c r="K57" s="20">
        <v>2017</v>
      </c>
      <c r="L57" s="51">
        <v>5180</v>
      </c>
      <c r="M57" s="51">
        <v>1642121</v>
      </c>
      <c r="N57" s="35" t="s">
        <v>425</v>
      </c>
      <c r="O57" s="67" t="s">
        <v>424</v>
      </c>
      <c r="P57" s="34" t="s">
        <v>239</v>
      </c>
      <c r="Q57" s="36" t="s">
        <v>238</v>
      </c>
    </row>
    <row r="58" spans="1:18" ht="25.05" customHeight="1" x14ac:dyDescent="0.4">
      <c r="A58" s="32" t="s">
        <v>744</v>
      </c>
      <c r="B58" s="20" t="s">
        <v>218</v>
      </c>
      <c r="C58" s="51" t="s">
        <v>399</v>
      </c>
      <c r="D58" s="40" t="s">
        <v>687</v>
      </c>
      <c r="E58" s="40" t="s">
        <v>661</v>
      </c>
      <c r="F58" s="43" t="s">
        <v>218</v>
      </c>
      <c r="G58" s="43" t="s">
        <v>218</v>
      </c>
      <c r="H58" s="43" t="s">
        <v>218</v>
      </c>
      <c r="I58" s="43" t="s">
        <v>218</v>
      </c>
      <c r="J58" s="51" t="s">
        <v>6</v>
      </c>
      <c r="K58" s="20">
        <v>2017</v>
      </c>
      <c r="L58" s="51">
        <v>381</v>
      </c>
      <c r="M58" s="51" t="s">
        <v>418</v>
      </c>
      <c r="N58" s="35" t="s">
        <v>425</v>
      </c>
      <c r="O58" s="67" t="s">
        <v>424</v>
      </c>
      <c r="P58" s="34" t="s">
        <v>240</v>
      </c>
      <c r="Q58" s="36" t="s">
        <v>678</v>
      </c>
      <c r="R58" s="114"/>
    </row>
    <row r="59" spans="1:18" ht="25.05" customHeight="1" x14ac:dyDescent="0.4">
      <c r="A59" s="32" t="s">
        <v>745</v>
      </c>
      <c r="B59" s="20" t="s">
        <v>218</v>
      </c>
      <c r="C59" s="51" t="s">
        <v>400</v>
      </c>
      <c r="D59" s="53" t="s">
        <v>687</v>
      </c>
      <c r="E59" s="53" t="s">
        <v>684</v>
      </c>
      <c r="F59" s="42">
        <v>45496</v>
      </c>
      <c r="G59" s="59" t="s">
        <v>1</v>
      </c>
      <c r="H59" s="51">
        <v>12</v>
      </c>
      <c r="I59" s="43">
        <f t="shared" ref="I59:I73" si="10">DATE(YEAR(F59)+1,MONTH(F59),DAY(F59))</f>
        <v>45861</v>
      </c>
      <c r="J59" s="51" t="s">
        <v>6</v>
      </c>
      <c r="K59" s="20">
        <v>2017</v>
      </c>
      <c r="L59" s="51">
        <v>177</v>
      </c>
      <c r="M59" s="51">
        <v>37850547</v>
      </c>
      <c r="N59" s="35" t="s">
        <v>425</v>
      </c>
      <c r="O59" s="67" t="s">
        <v>424</v>
      </c>
      <c r="P59" s="34" t="s">
        <v>239</v>
      </c>
      <c r="Q59" s="36" t="s">
        <v>238</v>
      </c>
    </row>
    <row r="60" spans="1:18" ht="25.05" customHeight="1" x14ac:dyDescent="0.4">
      <c r="A60" s="32" t="s">
        <v>746</v>
      </c>
      <c r="B60" s="20" t="s">
        <v>218</v>
      </c>
      <c r="C60" s="51" t="s">
        <v>400</v>
      </c>
      <c r="D60" s="81" t="s">
        <v>687</v>
      </c>
      <c r="E60" s="81" t="s">
        <v>661</v>
      </c>
      <c r="F60" s="43" t="s">
        <v>218</v>
      </c>
      <c r="G60" s="43" t="s">
        <v>218</v>
      </c>
      <c r="H60" s="43" t="s">
        <v>218</v>
      </c>
      <c r="I60" s="43" t="s">
        <v>218</v>
      </c>
      <c r="J60" s="51" t="s">
        <v>6</v>
      </c>
      <c r="K60" s="20">
        <v>2017</v>
      </c>
      <c r="L60" s="51">
        <v>177</v>
      </c>
      <c r="M60" s="51">
        <v>37850548</v>
      </c>
      <c r="N60" s="35" t="s">
        <v>425</v>
      </c>
      <c r="O60" s="67" t="s">
        <v>424</v>
      </c>
      <c r="P60" s="34" t="s">
        <v>240</v>
      </c>
      <c r="Q60" s="36" t="s">
        <v>238</v>
      </c>
      <c r="R60" s="114"/>
    </row>
    <row r="61" spans="1:18" ht="25.05" customHeight="1" x14ac:dyDescent="0.4">
      <c r="A61" s="32" t="s">
        <v>747</v>
      </c>
      <c r="B61" s="20" t="s">
        <v>218</v>
      </c>
      <c r="C61" s="51" t="s">
        <v>400</v>
      </c>
      <c r="D61" s="81" t="s">
        <v>687</v>
      </c>
      <c r="E61" s="81" t="s">
        <v>661</v>
      </c>
      <c r="F61" s="43" t="s">
        <v>218</v>
      </c>
      <c r="G61" s="43" t="s">
        <v>218</v>
      </c>
      <c r="H61" s="43" t="s">
        <v>218</v>
      </c>
      <c r="I61" s="43" t="s">
        <v>218</v>
      </c>
      <c r="J61" s="51" t="s">
        <v>6</v>
      </c>
      <c r="K61" s="20">
        <v>2017</v>
      </c>
      <c r="L61" s="51">
        <v>177</v>
      </c>
      <c r="M61" s="51">
        <v>37850549</v>
      </c>
      <c r="N61" s="35" t="s">
        <v>425</v>
      </c>
      <c r="O61" s="67" t="s">
        <v>424</v>
      </c>
      <c r="P61" s="34" t="s">
        <v>240</v>
      </c>
      <c r="Q61" s="36" t="s">
        <v>238</v>
      </c>
      <c r="R61" s="114"/>
    </row>
    <row r="62" spans="1:18" ht="25.05" customHeight="1" x14ac:dyDescent="0.4">
      <c r="A62" s="32" t="s">
        <v>748</v>
      </c>
      <c r="B62" s="20" t="s">
        <v>218</v>
      </c>
      <c r="C62" s="51" t="s">
        <v>401</v>
      </c>
      <c r="D62" s="53" t="s">
        <v>687</v>
      </c>
      <c r="E62" s="53" t="s">
        <v>684</v>
      </c>
      <c r="F62" s="42">
        <v>45496</v>
      </c>
      <c r="G62" s="59" t="s">
        <v>1</v>
      </c>
      <c r="H62" s="51">
        <v>12</v>
      </c>
      <c r="I62" s="43">
        <f t="shared" si="10"/>
        <v>45861</v>
      </c>
      <c r="J62" s="51" t="s">
        <v>409</v>
      </c>
      <c r="K62" s="20">
        <v>2017</v>
      </c>
      <c r="L62" s="51" t="s">
        <v>411</v>
      </c>
      <c r="M62" s="51" t="s">
        <v>419</v>
      </c>
      <c r="N62" s="35" t="s">
        <v>425</v>
      </c>
      <c r="O62" s="67" t="s">
        <v>424</v>
      </c>
      <c r="P62" s="34" t="s">
        <v>239</v>
      </c>
      <c r="Q62" s="36" t="s">
        <v>238</v>
      </c>
    </row>
    <row r="63" spans="1:18" ht="25.05" customHeight="1" x14ac:dyDescent="0.4">
      <c r="A63" s="32" t="s">
        <v>749</v>
      </c>
      <c r="B63" s="20" t="s">
        <v>218</v>
      </c>
      <c r="C63" s="61" t="s">
        <v>402</v>
      </c>
      <c r="D63" s="53" t="s">
        <v>687</v>
      </c>
      <c r="E63" s="53" t="s">
        <v>234</v>
      </c>
      <c r="F63" s="66" t="s">
        <v>218</v>
      </c>
      <c r="G63" s="66" t="s">
        <v>218</v>
      </c>
      <c r="H63" s="66" t="s">
        <v>218</v>
      </c>
      <c r="I63" s="66" t="s">
        <v>218</v>
      </c>
      <c r="J63" s="61" t="s">
        <v>410</v>
      </c>
      <c r="K63" s="20">
        <v>2017</v>
      </c>
      <c r="L63" s="61" t="s">
        <v>412</v>
      </c>
      <c r="M63" s="61" t="s">
        <v>420</v>
      </c>
      <c r="N63" s="67" t="s">
        <v>422</v>
      </c>
      <c r="O63" s="48" t="s">
        <v>236</v>
      </c>
      <c r="P63" s="34" t="s">
        <v>239</v>
      </c>
      <c r="Q63" s="36" t="s">
        <v>238</v>
      </c>
    </row>
    <row r="64" spans="1:18" ht="25.05" customHeight="1" x14ac:dyDescent="0.4">
      <c r="A64" s="32" t="s">
        <v>750</v>
      </c>
      <c r="B64" s="20" t="s">
        <v>218</v>
      </c>
      <c r="C64" s="61" t="s">
        <v>402</v>
      </c>
      <c r="D64" s="53" t="s">
        <v>687</v>
      </c>
      <c r="E64" s="53" t="s">
        <v>234</v>
      </c>
      <c r="F64" s="66" t="s">
        <v>218</v>
      </c>
      <c r="G64" s="66" t="s">
        <v>218</v>
      </c>
      <c r="H64" s="66" t="s">
        <v>218</v>
      </c>
      <c r="I64" s="66" t="s">
        <v>218</v>
      </c>
      <c r="J64" s="61" t="s">
        <v>410</v>
      </c>
      <c r="K64" s="20">
        <v>2017</v>
      </c>
      <c r="L64" s="61" t="s">
        <v>413</v>
      </c>
      <c r="M64" s="61" t="s">
        <v>421</v>
      </c>
      <c r="N64" s="68" t="s">
        <v>425</v>
      </c>
      <c r="O64" s="48" t="s">
        <v>236</v>
      </c>
      <c r="P64" s="34" t="s">
        <v>239</v>
      </c>
      <c r="Q64" s="36" t="s">
        <v>238</v>
      </c>
    </row>
    <row r="65" spans="1:18" ht="25.05" customHeight="1" x14ac:dyDescent="0.4">
      <c r="A65" s="32" t="s">
        <v>751</v>
      </c>
      <c r="B65" s="20" t="s">
        <v>218</v>
      </c>
      <c r="C65" s="62" t="s">
        <v>403</v>
      </c>
      <c r="D65" s="64" t="s">
        <v>687</v>
      </c>
      <c r="E65" s="64" t="s">
        <v>684</v>
      </c>
      <c r="F65" s="42">
        <v>45496</v>
      </c>
      <c r="G65" s="66" t="s">
        <v>1</v>
      </c>
      <c r="H65" s="62">
        <v>12</v>
      </c>
      <c r="I65" s="43">
        <f t="shared" si="10"/>
        <v>45861</v>
      </c>
      <c r="J65" s="37" t="s">
        <v>303</v>
      </c>
      <c r="K65" s="20">
        <v>2017</v>
      </c>
      <c r="L65" s="62" t="s">
        <v>414</v>
      </c>
      <c r="M65" s="62" t="s">
        <v>414</v>
      </c>
      <c r="N65" s="69" t="s">
        <v>423</v>
      </c>
      <c r="O65" s="48" t="s">
        <v>424</v>
      </c>
      <c r="P65" s="34" t="s">
        <v>239</v>
      </c>
      <c r="Q65" s="36" t="s">
        <v>238</v>
      </c>
    </row>
    <row r="66" spans="1:18" ht="25.05" customHeight="1" x14ac:dyDescent="0.4">
      <c r="A66" s="32" t="s">
        <v>752</v>
      </c>
      <c r="B66" s="20" t="s">
        <v>218</v>
      </c>
      <c r="C66" s="62" t="s">
        <v>404</v>
      </c>
      <c r="D66" s="64" t="s">
        <v>687</v>
      </c>
      <c r="E66" s="64" t="s">
        <v>684</v>
      </c>
      <c r="F66" s="42">
        <v>45496</v>
      </c>
      <c r="G66" s="66" t="s">
        <v>1</v>
      </c>
      <c r="H66" s="62">
        <v>12</v>
      </c>
      <c r="I66" s="43">
        <f t="shared" si="10"/>
        <v>45861</v>
      </c>
      <c r="J66" s="37" t="s">
        <v>303</v>
      </c>
      <c r="K66" s="20">
        <v>2017</v>
      </c>
      <c r="L66" s="62" t="s">
        <v>414</v>
      </c>
      <c r="M66" s="62" t="s">
        <v>414</v>
      </c>
      <c r="N66" s="69" t="s">
        <v>423</v>
      </c>
      <c r="O66" s="48" t="s">
        <v>424</v>
      </c>
      <c r="P66" s="34" t="s">
        <v>239</v>
      </c>
      <c r="Q66" s="36" t="s">
        <v>238</v>
      </c>
    </row>
    <row r="67" spans="1:18" ht="25.05" customHeight="1" x14ac:dyDescent="0.4">
      <c r="A67" s="32" t="s">
        <v>753</v>
      </c>
      <c r="B67" s="20" t="s">
        <v>218</v>
      </c>
      <c r="C67" s="62" t="s">
        <v>404</v>
      </c>
      <c r="D67" s="64" t="s">
        <v>687</v>
      </c>
      <c r="E67" s="64" t="s">
        <v>684</v>
      </c>
      <c r="F67" s="42">
        <v>45496</v>
      </c>
      <c r="G67" s="66" t="s">
        <v>1</v>
      </c>
      <c r="H67" s="62">
        <v>12</v>
      </c>
      <c r="I67" s="43">
        <f t="shared" si="10"/>
        <v>45861</v>
      </c>
      <c r="J67" s="37" t="s">
        <v>303</v>
      </c>
      <c r="K67" s="20">
        <v>2017</v>
      </c>
      <c r="L67" s="62" t="s">
        <v>414</v>
      </c>
      <c r="M67" s="62" t="s">
        <v>414</v>
      </c>
      <c r="N67" s="69" t="s">
        <v>423</v>
      </c>
      <c r="O67" s="48" t="s">
        <v>424</v>
      </c>
      <c r="P67" s="34" t="s">
        <v>239</v>
      </c>
      <c r="Q67" s="36" t="s">
        <v>238</v>
      </c>
    </row>
    <row r="68" spans="1:18" ht="25.05" customHeight="1" x14ac:dyDescent="0.4">
      <c r="A68" s="32" t="s">
        <v>754</v>
      </c>
      <c r="B68" s="20" t="s">
        <v>218</v>
      </c>
      <c r="C68" s="62" t="s">
        <v>405</v>
      </c>
      <c r="D68" s="64" t="s">
        <v>687</v>
      </c>
      <c r="E68" s="64" t="s">
        <v>684</v>
      </c>
      <c r="F68" s="42">
        <v>45499</v>
      </c>
      <c r="G68" s="66" t="s">
        <v>1</v>
      </c>
      <c r="H68" s="62">
        <v>12</v>
      </c>
      <c r="I68" s="43">
        <f t="shared" si="10"/>
        <v>45864</v>
      </c>
      <c r="J68" s="37" t="s">
        <v>303</v>
      </c>
      <c r="K68" s="20">
        <v>2017</v>
      </c>
      <c r="L68" s="62" t="s">
        <v>415</v>
      </c>
      <c r="M68" s="62">
        <v>75418.100000000006</v>
      </c>
      <c r="N68" s="69" t="s">
        <v>425</v>
      </c>
      <c r="O68" s="48" t="s">
        <v>424</v>
      </c>
      <c r="P68" s="34" t="s">
        <v>239</v>
      </c>
      <c r="Q68" s="36" t="s">
        <v>238</v>
      </c>
    </row>
    <row r="69" spans="1:18" ht="25.05" customHeight="1" x14ac:dyDescent="0.4">
      <c r="A69" s="32" t="s">
        <v>755</v>
      </c>
      <c r="B69" s="20" t="s">
        <v>218</v>
      </c>
      <c r="C69" s="62" t="s">
        <v>405</v>
      </c>
      <c r="D69" s="64" t="s">
        <v>687</v>
      </c>
      <c r="E69" s="64" t="s">
        <v>684</v>
      </c>
      <c r="F69" s="42">
        <v>45499</v>
      </c>
      <c r="G69" s="66" t="s">
        <v>1</v>
      </c>
      <c r="H69" s="62">
        <v>12</v>
      </c>
      <c r="I69" s="43">
        <f t="shared" si="10"/>
        <v>45864</v>
      </c>
      <c r="J69" s="37" t="s">
        <v>303</v>
      </c>
      <c r="K69" s="20">
        <v>2017</v>
      </c>
      <c r="L69" s="62" t="s">
        <v>415</v>
      </c>
      <c r="M69" s="62">
        <v>75418.2</v>
      </c>
      <c r="N69" s="69" t="s">
        <v>425</v>
      </c>
      <c r="O69" s="48" t="s">
        <v>424</v>
      </c>
      <c r="P69" s="34" t="s">
        <v>239</v>
      </c>
      <c r="Q69" s="36" t="s">
        <v>238</v>
      </c>
    </row>
    <row r="70" spans="1:18" ht="25.05" customHeight="1" x14ac:dyDescent="0.4">
      <c r="A70" s="32" t="s">
        <v>756</v>
      </c>
      <c r="B70" s="20" t="s">
        <v>218</v>
      </c>
      <c r="C70" s="62" t="s">
        <v>406</v>
      </c>
      <c r="D70" s="64" t="s">
        <v>687</v>
      </c>
      <c r="E70" s="64" t="s">
        <v>684</v>
      </c>
      <c r="F70" s="42">
        <v>45499</v>
      </c>
      <c r="G70" s="66" t="s">
        <v>1</v>
      </c>
      <c r="H70" s="62">
        <v>12</v>
      </c>
      <c r="I70" s="43">
        <f t="shared" si="10"/>
        <v>45864</v>
      </c>
      <c r="J70" s="37" t="s">
        <v>303</v>
      </c>
      <c r="K70" s="20">
        <v>2017</v>
      </c>
      <c r="L70" s="62" t="s">
        <v>416</v>
      </c>
      <c r="M70" s="62">
        <v>75376.100000000006</v>
      </c>
      <c r="N70" s="69" t="s">
        <v>425</v>
      </c>
      <c r="O70" s="48" t="s">
        <v>424</v>
      </c>
      <c r="P70" s="34" t="s">
        <v>239</v>
      </c>
      <c r="Q70" s="36" t="s">
        <v>238</v>
      </c>
    </row>
    <row r="71" spans="1:18" ht="25.05" customHeight="1" x14ac:dyDescent="0.4">
      <c r="A71" s="32" t="s">
        <v>757</v>
      </c>
      <c r="B71" s="20" t="s">
        <v>218</v>
      </c>
      <c r="C71" s="62" t="s">
        <v>406</v>
      </c>
      <c r="D71" s="64" t="s">
        <v>687</v>
      </c>
      <c r="E71" s="64" t="s">
        <v>684</v>
      </c>
      <c r="F71" s="42">
        <v>45499</v>
      </c>
      <c r="G71" s="66" t="s">
        <v>1</v>
      </c>
      <c r="H71" s="62">
        <v>12</v>
      </c>
      <c r="I71" s="43">
        <f t="shared" si="10"/>
        <v>45864</v>
      </c>
      <c r="J71" s="37" t="s">
        <v>303</v>
      </c>
      <c r="K71" s="20">
        <v>2017</v>
      </c>
      <c r="L71" s="62" t="s">
        <v>416</v>
      </c>
      <c r="M71" s="62">
        <v>75376.2</v>
      </c>
      <c r="N71" s="69" t="s">
        <v>425</v>
      </c>
      <c r="O71" s="48" t="s">
        <v>424</v>
      </c>
      <c r="P71" s="34" t="s">
        <v>239</v>
      </c>
      <c r="Q71" s="36" t="s">
        <v>238</v>
      </c>
    </row>
    <row r="72" spans="1:18" ht="25.05" customHeight="1" x14ac:dyDescent="0.4">
      <c r="A72" s="32" t="s">
        <v>758</v>
      </c>
      <c r="B72" s="83" t="s">
        <v>218</v>
      </c>
      <c r="C72" s="63" t="s">
        <v>407</v>
      </c>
      <c r="D72" s="78" t="s">
        <v>687</v>
      </c>
      <c r="E72" s="78" t="s">
        <v>684</v>
      </c>
      <c r="F72" s="42">
        <v>45499</v>
      </c>
      <c r="G72" s="65" t="s">
        <v>1</v>
      </c>
      <c r="H72" s="63">
        <v>12</v>
      </c>
      <c r="I72" s="42">
        <f t="shared" si="10"/>
        <v>45864</v>
      </c>
      <c r="J72" s="38" t="s">
        <v>303</v>
      </c>
      <c r="K72" s="83">
        <v>2017</v>
      </c>
      <c r="L72" s="63" t="s">
        <v>417</v>
      </c>
      <c r="M72" s="63">
        <v>44799</v>
      </c>
      <c r="N72" s="76" t="s">
        <v>425</v>
      </c>
      <c r="O72" s="70" t="s">
        <v>424</v>
      </c>
      <c r="P72" s="34" t="s">
        <v>239</v>
      </c>
      <c r="Q72" s="36" t="s">
        <v>238</v>
      </c>
      <c r="R72" s="104"/>
    </row>
    <row r="73" spans="1:18" ht="25.05" customHeight="1" x14ac:dyDescent="0.4">
      <c r="A73" s="32" t="s">
        <v>759</v>
      </c>
      <c r="B73" s="20" t="s">
        <v>218</v>
      </c>
      <c r="C73" s="63" t="s">
        <v>407</v>
      </c>
      <c r="D73" s="64" t="s">
        <v>687</v>
      </c>
      <c r="E73" s="64" t="s">
        <v>684</v>
      </c>
      <c r="F73" s="42">
        <v>45499</v>
      </c>
      <c r="G73" s="66" t="s">
        <v>1</v>
      </c>
      <c r="H73" s="62">
        <v>12</v>
      </c>
      <c r="I73" s="43">
        <f t="shared" si="10"/>
        <v>45864</v>
      </c>
      <c r="J73" s="37" t="s">
        <v>303</v>
      </c>
      <c r="K73" s="20">
        <v>2017</v>
      </c>
      <c r="L73" s="62" t="s">
        <v>417</v>
      </c>
      <c r="M73" s="62">
        <v>44800</v>
      </c>
      <c r="N73" s="69" t="s">
        <v>425</v>
      </c>
      <c r="O73" s="48" t="s">
        <v>424</v>
      </c>
      <c r="P73" s="34" t="s">
        <v>239</v>
      </c>
      <c r="Q73" s="36" t="s">
        <v>238</v>
      </c>
      <c r="R73" s="104"/>
    </row>
    <row r="74" spans="1:18" ht="25.05" customHeight="1" x14ac:dyDescent="0.4">
      <c r="A74" s="32" t="s">
        <v>760</v>
      </c>
      <c r="B74" s="20" t="s">
        <v>218</v>
      </c>
      <c r="C74" s="63" t="s">
        <v>407</v>
      </c>
      <c r="D74" s="64" t="s">
        <v>687</v>
      </c>
      <c r="E74" s="64" t="s">
        <v>684</v>
      </c>
      <c r="F74" s="42">
        <v>45499</v>
      </c>
      <c r="G74" s="66" t="s">
        <v>1</v>
      </c>
      <c r="H74" s="62">
        <v>12</v>
      </c>
      <c r="I74" s="43">
        <f t="shared" ref="I74:I75" si="11">DATE(YEAR(F74)+1,MONTH(F74),DAY(F74))</f>
        <v>45864</v>
      </c>
      <c r="J74" s="37" t="s">
        <v>303</v>
      </c>
      <c r="K74" s="20">
        <v>2017</v>
      </c>
      <c r="L74" s="62" t="s">
        <v>417</v>
      </c>
      <c r="M74" s="62">
        <v>44835</v>
      </c>
      <c r="N74" s="69" t="s">
        <v>425</v>
      </c>
      <c r="O74" s="48" t="s">
        <v>424</v>
      </c>
      <c r="P74" s="87" t="s">
        <v>239</v>
      </c>
      <c r="Q74" s="84" t="s">
        <v>238</v>
      </c>
      <c r="R74" s="104"/>
    </row>
    <row r="75" spans="1:18" ht="25.05" customHeight="1" x14ac:dyDescent="0.4">
      <c r="A75" s="32" t="s">
        <v>761</v>
      </c>
      <c r="B75" s="20" t="s">
        <v>218</v>
      </c>
      <c r="C75" s="63" t="s">
        <v>407</v>
      </c>
      <c r="D75" s="64" t="s">
        <v>687</v>
      </c>
      <c r="E75" s="64" t="s">
        <v>684</v>
      </c>
      <c r="F75" s="42">
        <v>45499</v>
      </c>
      <c r="G75" s="66" t="s">
        <v>1</v>
      </c>
      <c r="H75" s="62">
        <v>12</v>
      </c>
      <c r="I75" s="43">
        <f t="shared" si="11"/>
        <v>45864</v>
      </c>
      <c r="J75" s="37" t="s">
        <v>303</v>
      </c>
      <c r="K75" s="20">
        <v>2017</v>
      </c>
      <c r="L75" s="62" t="s">
        <v>417</v>
      </c>
      <c r="M75" s="62">
        <v>44836</v>
      </c>
      <c r="N75" s="69" t="s">
        <v>425</v>
      </c>
      <c r="O75" s="48" t="s">
        <v>424</v>
      </c>
      <c r="P75" s="87" t="s">
        <v>239</v>
      </c>
      <c r="Q75" s="84" t="s">
        <v>238</v>
      </c>
      <c r="R75" s="104"/>
    </row>
    <row r="76" spans="1:18" ht="25.05" customHeight="1" x14ac:dyDescent="0.4">
      <c r="A76" s="32" t="s">
        <v>762</v>
      </c>
      <c r="B76" s="20" t="s">
        <v>218</v>
      </c>
      <c r="C76" s="62" t="s">
        <v>291</v>
      </c>
      <c r="D76" s="64" t="s">
        <v>687</v>
      </c>
      <c r="E76" s="64" t="s">
        <v>684</v>
      </c>
      <c r="F76" s="42">
        <v>45498</v>
      </c>
      <c r="G76" s="66" t="s">
        <v>1</v>
      </c>
      <c r="H76" s="62">
        <v>12</v>
      </c>
      <c r="I76" s="43">
        <f t="shared" ref="I76:I106" si="12">DATE(YEAR(F76)+1,MONTH(F76),DAY(F76))</f>
        <v>45863</v>
      </c>
      <c r="J76" s="37" t="s">
        <v>303</v>
      </c>
      <c r="K76" s="20">
        <v>2017</v>
      </c>
      <c r="L76" s="62" t="s">
        <v>311</v>
      </c>
      <c r="M76" s="62">
        <v>47488</v>
      </c>
      <c r="N76" s="69" t="s">
        <v>425</v>
      </c>
      <c r="O76" s="48" t="s">
        <v>424</v>
      </c>
      <c r="P76" s="34" t="s">
        <v>239</v>
      </c>
      <c r="Q76" s="36" t="s">
        <v>238</v>
      </c>
    </row>
    <row r="77" spans="1:18" ht="25.05" customHeight="1" x14ac:dyDescent="0.4">
      <c r="A77" s="32" t="s">
        <v>763</v>
      </c>
      <c r="B77" s="20" t="s">
        <v>218</v>
      </c>
      <c r="C77" s="62" t="s">
        <v>291</v>
      </c>
      <c r="D77" s="64" t="s">
        <v>687</v>
      </c>
      <c r="E77" s="64" t="s">
        <v>684</v>
      </c>
      <c r="F77" s="42">
        <v>45498</v>
      </c>
      <c r="G77" s="66" t="s">
        <v>1</v>
      </c>
      <c r="H77" s="62">
        <v>12</v>
      </c>
      <c r="I77" s="43">
        <f t="shared" si="12"/>
        <v>45863</v>
      </c>
      <c r="J77" s="37" t="s">
        <v>303</v>
      </c>
      <c r="K77" s="20">
        <v>2017</v>
      </c>
      <c r="L77" s="62" t="s">
        <v>311</v>
      </c>
      <c r="M77" s="62">
        <v>47489</v>
      </c>
      <c r="N77" s="69" t="s">
        <v>425</v>
      </c>
      <c r="O77" s="48" t="s">
        <v>424</v>
      </c>
      <c r="P77" s="34" t="s">
        <v>239</v>
      </c>
      <c r="Q77" s="36" t="s">
        <v>238</v>
      </c>
    </row>
    <row r="78" spans="1:18" ht="25.05" customHeight="1" x14ac:dyDescent="0.4">
      <c r="A78" s="32" t="s">
        <v>764</v>
      </c>
      <c r="B78" s="20" t="s">
        <v>218</v>
      </c>
      <c r="C78" s="62" t="s">
        <v>426</v>
      </c>
      <c r="D78" s="64" t="s">
        <v>687</v>
      </c>
      <c r="E78" s="64" t="s">
        <v>684</v>
      </c>
      <c r="F78" s="42">
        <v>45496</v>
      </c>
      <c r="G78" s="66" t="s">
        <v>1</v>
      </c>
      <c r="H78" s="62">
        <v>12</v>
      </c>
      <c r="I78" s="43">
        <f t="shared" si="12"/>
        <v>45861</v>
      </c>
      <c r="J78" s="62" t="s">
        <v>430</v>
      </c>
      <c r="K78" s="20">
        <v>2017</v>
      </c>
      <c r="L78" s="62" t="s">
        <v>653</v>
      </c>
      <c r="M78" s="73" t="s">
        <v>433</v>
      </c>
      <c r="N78" s="69" t="s">
        <v>425</v>
      </c>
      <c r="O78" s="48" t="s">
        <v>424</v>
      </c>
      <c r="P78" s="34" t="s">
        <v>239</v>
      </c>
      <c r="Q78" s="36" t="s">
        <v>238</v>
      </c>
    </row>
    <row r="79" spans="1:18" ht="25.05" customHeight="1" x14ac:dyDescent="0.4">
      <c r="A79" s="32" t="s">
        <v>765</v>
      </c>
      <c r="B79" s="20" t="s">
        <v>218</v>
      </c>
      <c r="C79" s="62" t="s">
        <v>426</v>
      </c>
      <c r="D79" s="64" t="s">
        <v>687</v>
      </c>
      <c r="E79" s="64" t="s">
        <v>684</v>
      </c>
      <c r="F79" s="42">
        <v>45496</v>
      </c>
      <c r="G79" s="66" t="s">
        <v>1</v>
      </c>
      <c r="H79" s="62">
        <v>12</v>
      </c>
      <c r="I79" s="43">
        <f t="shared" si="12"/>
        <v>45861</v>
      </c>
      <c r="J79" s="62" t="s">
        <v>430</v>
      </c>
      <c r="K79" s="20">
        <v>2017</v>
      </c>
      <c r="L79" s="62" t="s">
        <v>432</v>
      </c>
      <c r="M79" s="73" t="s">
        <v>434</v>
      </c>
      <c r="N79" s="69" t="s">
        <v>425</v>
      </c>
      <c r="O79" s="48" t="s">
        <v>424</v>
      </c>
      <c r="P79" s="34" t="s">
        <v>239</v>
      </c>
      <c r="Q79" s="36" t="s">
        <v>238</v>
      </c>
    </row>
    <row r="80" spans="1:18" ht="25.05" customHeight="1" x14ac:dyDescent="0.4">
      <c r="A80" s="32" t="s">
        <v>766</v>
      </c>
      <c r="B80" s="20" t="s">
        <v>218</v>
      </c>
      <c r="C80" s="62" t="s">
        <v>427</v>
      </c>
      <c r="D80" s="64" t="s">
        <v>687</v>
      </c>
      <c r="E80" s="64" t="s">
        <v>684</v>
      </c>
      <c r="F80" s="43">
        <v>45498</v>
      </c>
      <c r="G80" s="66" t="s">
        <v>1</v>
      </c>
      <c r="H80" s="62">
        <v>12</v>
      </c>
      <c r="I80" s="43">
        <f t="shared" si="12"/>
        <v>45863</v>
      </c>
      <c r="J80" s="62" t="s">
        <v>430</v>
      </c>
      <c r="K80" s="20">
        <v>2017</v>
      </c>
      <c r="L80" s="62" t="s">
        <v>435</v>
      </c>
      <c r="M80" s="62">
        <v>190</v>
      </c>
      <c r="N80" s="69" t="s">
        <v>425</v>
      </c>
      <c r="O80" s="48" t="s">
        <v>424</v>
      </c>
      <c r="P80" s="34" t="s">
        <v>239</v>
      </c>
      <c r="Q80" s="36" t="s">
        <v>238</v>
      </c>
    </row>
    <row r="81" spans="1:18" ht="25.05" customHeight="1" x14ac:dyDescent="0.4">
      <c r="A81" s="32" t="s">
        <v>767</v>
      </c>
      <c r="B81" s="20" t="s">
        <v>218</v>
      </c>
      <c r="C81" s="62" t="s">
        <v>427</v>
      </c>
      <c r="D81" s="71" t="s">
        <v>687</v>
      </c>
      <c r="E81" s="71" t="s">
        <v>684</v>
      </c>
      <c r="F81" s="43">
        <v>45498</v>
      </c>
      <c r="G81" s="66" t="s">
        <v>1</v>
      </c>
      <c r="H81" s="62">
        <v>12</v>
      </c>
      <c r="I81" s="43">
        <f t="shared" si="12"/>
        <v>45863</v>
      </c>
      <c r="J81" s="62" t="s">
        <v>430</v>
      </c>
      <c r="K81" s="20">
        <v>2017</v>
      </c>
      <c r="L81" s="62" t="s">
        <v>436</v>
      </c>
      <c r="M81" s="62">
        <v>156</v>
      </c>
      <c r="N81" s="69" t="s">
        <v>425</v>
      </c>
      <c r="O81" s="48" t="s">
        <v>424</v>
      </c>
      <c r="P81" s="34" t="s">
        <v>239</v>
      </c>
      <c r="Q81" s="36" t="s">
        <v>238</v>
      </c>
    </row>
    <row r="82" spans="1:18" ht="25.05" customHeight="1" x14ac:dyDescent="0.4">
      <c r="A82" s="32" t="s">
        <v>768</v>
      </c>
      <c r="B82" s="20" t="s">
        <v>218</v>
      </c>
      <c r="C82" s="62" t="s">
        <v>674</v>
      </c>
      <c r="D82" s="20" t="s">
        <v>687</v>
      </c>
      <c r="E82" s="20" t="s">
        <v>661</v>
      </c>
      <c r="F82" s="66" t="s">
        <v>218</v>
      </c>
      <c r="G82" s="66" t="s">
        <v>218</v>
      </c>
      <c r="H82" s="66" t="s">
        <v>218</v>
      </c>
      <c r="I82" s="66" t="s">
        <v>218</v>
      </c>
      <c r="J82" s="62" t="s">
        <v>675</v>
      </c>
      <c r="K82" s="20">
        <v>2017</v>
      </c>
      <c r="L82" s="62" t="s">
        <v>676</v>
      </c>
      <c r="M82" s="62" t="s">
        <v>677</v>
      </c>
      <c r="N82" s="20" t="s">
        <v>425</v>
      </c>
      <c r="O82" s="20" t="s">
        <v>391</v>
      </c>
      <c r="P82" s="20" t="s">
        <v>240</v>
      </c>
      <c r="Q82" s="36" t="s">
        <v>238</v>
      </c>
    </row>
    <row r="83" spans="1:18" ht="25.05" customHeight="1" x14ac:dyDescent="0.4">
      <c r="A83" s="32" t="s">
        <v>769</v>
      </c>
      <c r="B83" s="20" t="s">
        <v>218</v>
      </c>
      <c r="C83" s="62" t="s">
        <v>592</v>
      </c>
      <c r="D83" s="64" t="s">
        <v>687</v>
      </c>
      <c r="E83" s="64" t="s">
        <v>684</v>
      </c>
      <c r="F83" s="43">
        <v>45496</v>
      </c>
      <c r="G83" s="66" t="s">
        <v>1</v>
      </c>
      <c r="H83" s="62">
        <v>12</v>
      </c>
      <c r="I83" s="43">
        <f t="shared" si="12"/>
        <v>45861</v>
      </c>
      <c r="J83" s="37" t="s">
        <v>349</v>
      </c>
      <c r="K83" s="20">
        <v>2017</v>
      </c>
      <c r="L83" s="62" t="s">
        <v>437</v>
      </c>
      <c r="M83" s="62">
        <v>101590</v>
      </c>
      <c r="N83" s="69" t="s">
        <v>439</v>
      </c>
      <c r="O83" s="48" t="s">
        <v>335</v>
      </c>
      <c r="P83" s="34" t="s">
        <v>239</v>
      </c>
      <c r="Q83" s="36" t="s">
        <v>238</v>
      </c>
      <c r="R83" s="18" t="s">
        <v>679</v>
      </c>
    </row>
    <row r="84" spans="1:18" ht="25.05" customHeight="1" x14ac:dyDescent="0.4">
      <c r="A84" s="32" t="s">
        <v>770</v>
      </c>
      <c r="B84" s="20" t="s">
        <v>218</v>
      </c>
      <c r="C84" s="48" t="s">
        <v>428</v>
      </c>
      <c r="D84" s="71" t="s">
        <v>687</v>
      </c>
      <c r="E84" s="71" t="s">
        <v>684</v>
      </c>
      <c r="F84" s="43">
        <v>45497</v>
      </c>
      <c r="G84" s="72" t="s">
        <v>429</v>
      </c>
      <c r="H84" s="48">
        <v>12</v>
      </c>
      <c r="I84" s="43">
        <f t="shared" si="12"/>
        <v>45862</v>
      </c>
      <c r="J84" s="48" t="s">
        <v>431</v>
      </c>
      <c r="K84" s="35">
        <v>2019</v>
      </c>
      <c r="L84" s="48" t="s">
        <v>438</v>
      </c>
      <c r="M84" s="48">
        <v>105143</v>
      </c>
      <c r="N84" s="69" t="s">
        <v>440</v>
      </c>
      <c r="O84" s="48" t="s">
        <v>236</v>
      </c>
      <c r="P84" s="34" t="s">
        <v>239</v>
      </c>
      <c r="Q84" s="36" t="s">
        <v>238</v>
      </c>
    </row>
    <row r="85" spans="1:18" ht="25.05" customHeight="1" x14ac:dyDescent="0.4">
      <c r="A85" s="32" t="s">
        <v>771</v>
      </c>
      <c r="B85" s="20" t="s">
        <v>218</v>
      </c>
      <c r="C85" s="48" t="s">
        <v>441</v>
      </c>
      <c r="D85" s="71" t="s">
        <v>687</v>
      </c>
      <c r="E85" s="71" t="s">
        <v>684</v>
      </c>
      <c r="F85" s="43">
        <v>45497</v>
      </c>
      <c r="G85" s="72" t="s">
        <v>429</v>
      </c>
      <c r="H85" s="48">
        <v>12</v>
      </c>
      <c r="I85" s="43">
        <f t="shared" si="12"/>
        <v>45862</v>
      </c>
      <c r="J85" s="48" t="s">
        <v>431</v>
      </c>
      <c r="K85" s="35">
        <v>2019</v>
      </c>
      <c r="L85" s="48" t="s">
        <v>459</v>
      </c>
      <c r="M85" s="48">
        <v>1003140</v>
      </c>
      <c r="N85" s="69" t="s">
        <v>473</v>
      </c>
      <c r="O85" s="48" t="s">
        <v>236</v>
      </c>
      <c r="P85" s="34" t="s">
        <v>239</v>
      </c>
      <c r="Q85" s="36" t="s">
        <v>238</v>
      </c>
    </row>
    <row r="86" spans="1:18" s="89" customFormat="1" ht="25.05" customHeight="1" x14ac:dyDescent="0.4">
      <c r="A86" s="32" t="s">
        <v>772</v>
      </c>
      <c r="B86" s="20" t="s">
        <v>218</v>
      </c>
      <c r="C86" s="48" t="s">
        <v>442</v>
      </c>
      <c r="D86" s="48" t="s">
        <v>687</v>
      </c>
      <c r="E86" s="48" t="s">
        <v>684</v>
      </c>
      <c r="F86" s="43">
        <v>45497</v>
      </c>
      <c r="G86" s="72" t="s">
        <v>429</v>
      </c>
      <c r="H86" s="48">
        <v>12</v>
      </c>
      <c r="I86" s="43">
        <f t="shared" si="12"/>
        <v>45862</v>
      </c>
      <c r="J86" s="48" t="s">
        <v>455</v>
      </c>
      <c r="K86" s="35">
        <v>2019</v>
      </c>
      <c r="L86" s="48">
        <v>4231</v>
      </c>
      <c r="M86" s="48">
        <v>3022030</v>
      </c>
      <c r="N86" s="69" t="s">
        <v>474</v>
      </c>
      <c r="O86" s="67" t="s">
        <v>390</v>
      </c>
      <c r="P86" s="34" t="s">
        <v>239</v>
      </c>
      <c r="Q86" s="36" t="s">
        <v>238</v>
      </c>
    </row>
    <row r="87" spans="1:18" ht="25.05" customHeight="1" x14ac:dyDescent="0.4">
      <c r="A87" s="32" t="s">
        <v>773</v>
      </c>
      <c r="B87" s="20" t="s">
        <v>218</v>
      </c>
      <c r="C87" s="48" t="s">
        <v>443</v>
      </c>
      <c r="D87" s="48" t="s">
        <v>687</v>
      </c>
      <c r="E87" s="48" t="s">
        <v>684</v>
      </c>
      <c r="F87" s="43">
        <v>45496</v>
      </c>
      <c r="G87" s="72" t="s">
        <v>429</v>
      </c>
      <c r="H87" s="48">
        <v>12</v>
      </c>
      <c r="I87" s="43">
        <f t="shared" si="12"/>
        <v>45861</v>
      </c>
      <c r="J87" s="48" t="s">
        <v>455</v>
      </c>
      <c r="K87" s="35">
        <v>2019</v>
      </c>
      <c r="L87" s="48">
        <v>4192</v>
      </c>
      <c r="M87" s="48">
        <v>3074177</v>
      </c>
      <c r="N87" s="69" t="s">
        <v>484</v>
      </c>
      <c r="O87" s="67" t="s">
        <v>390</v>
      </c>
      <c r="P87" s="34" t="s">
        <v>239</v>
      </c>
      <c r="Q87" s="36" t="s">
        <v>238</v>
      </c>
    </row>
    <row r="88" spans="1:18" ht="25.05" customHeight="1" x14ac:dyDescent="0.4">
      <c r="A88" s="32" t="s">
        <v>774</v>
      </c>
      <c r="B88" s="20" t="s">
        <v>218</v>
      </c>
      <c r="C88" s="48" t="s">
        <v>444</v>
      </c>
      <c r="D88" s="48" t="s">
        <v>687</v>
      </c>
      <c r="E88" s="48" t="s">
        <v>684</v>
      </c>
      <c r="F88" s="43">
        <v>45505</v>
      </c>
      <c r="G88" s="72" t="s">
        <v>429</v>
      </c>
      <c r="H88" s="48">
        <v>12</v>
      </c>
      <c r="I88" s="43">
        <f t="shared" si="12"/>
        <v>45870</v>
      </c>
      <c r="J88" s="48" t="s">
        <v>455</v>
      </c>
      <c r="K88" s="35">
        <v>2019</v>
      </c>
      <c r="L88" s="48">
        <v>2690</v>
      </c>
      <c r="M88" s="48">
        <v>3009345</v>
      </c>
      <c r="N88" s="69" t="s">
        <v>484</v>
      </c>
      <c r="O88" s="67" t="s">
        <v>390</v>
      </c>
      <c r="P88" s="34" t="s">
        <v>239</v>
      </c>
      <c r="Q88" s="36" t="s">
        <v>238</v>
      </c>
    </row>
    <row r="89" spans="1:18" ht="25.05" customHeight="1" x14ac:dyDescent="0.4">
      <c r="A89" s="32" t="s">
        <v>775</v>
      </c>
      <c r="B89" s="20" t="s">
        <v>218</v>
      </c>
      <c r="C89" s="48" t="s">
        <v>445</v>
      </c>
      <c r="D89" s="48" t="s">
        <v>687</v>
      </c>
      <c r="E89" s="48" t="s">
        <v>684</v>
      </c>
      <c r="F89" s="43">
        <v>45496</v>
      </c>
      <c r="G89" s="72" t="s">
        <v>429</v>
      </c>
      <c r="H89" s="48">
        <v>12</v>
      </c>
      <c r="I89" s="43">
        <f t="shared" si="12"/>
        <v>45861</v>
      </c>
      <c r="J89" s="48" t="s">
        <v>456</v>
      </c>
      <c r="K89" s="35">
        <v>2019</v>
      </c>
      <c r="L89" s="48" t="s">
        <v>460</v>
      </c>
      <c r="M89" s="48">
        <v>104454</v>
      </c>
      <c r="N89" s="69" t="s">
        <v>484</v>
      </c>
      <c r="O89" s="67" t="s">
        <v>390</v>
      </c>
      <c r="P89" s="34" t="s">
        <v>239</v>
      </c>
      <c r="Q89" s="36" t="s">
        <v>238</v>
      </c>
    </row>
    <row r="90" spans="1:18" ht="25.05" customHeight="1" x14ac:dyDescent="0.4">
      <c r="A90" s="32" t="s">
        <v>776</v>
      </c>
      <c r="B90" s="20" t="s">
        <v>218</v>
      </c>
      <c r="C90" s="52" t="s">
        <v>446</v>
      </c>
      <c r="D90" s="53" t="s">
        <v>687</v>
      </c>
      <c r="E90" s="53" t="s">
        <v>234</v>
      </c>
      <c r="F90" s="42" t="s">
        <v>218</v>
      </c>
      <c r="G90" s="43" t="s">
        <v>218</v>
      </c>
      <c r="H90" s="43" t="s">
        <v>218</v>
      </c>
      <c r="I90" s="43" t="s">
        <v>218</v>
      </c>
      <c r="J90" s="48" t="s">
        <v>456</v>
      </c>
      <c r="K90" s="35">
        <v>2019</v>
      </c>
      <c r="L90" s="48" t="s">
        <v>461</v>
      </c>
      <c r="M90" s="48">
        <v>103257</v>
      </c>
      <c r="N90" s="69" t="s">
        <v>484</v>
      </c>
      <c r="O90" s="67" t="s">
        <v>390</v>
      </c>
      <c r="P90" s="34" t="s">
        <v>239</v>
      </c>
      <c r="Q90" s="36" t="s">
        <v>238</v>
      </c>
    </row>
    <row r="91" spans="1:18" ht="25.05" customHeight="1" x14ac:dyDescent="0.4">
      <c r="A91" s="32" t="s">
        <v>777</v>
      </c>
      <c r="B91" s="20" t="s">
        <v>218</v>
      </c>
      <c r="C91" s="48" t="s">
        <v>447</v>
      </c>
      <c r="D91" s="48" t="s">
        <v>687</v>
      </c>
      <c r="E91" s="48" t="s">
        <v>684</v>
      </c>
      <c r="F91" s="42">
        <v>45496</v>
      </c>
      <c r="G91" s="72" t="s">
        <v>429</v>
      </c>
      <c r="H91" s="48">
        <v>12</v>
      </c>
      <c r="I91" s="43">
        <f t="shared" si="12"/>
        <v>45861</v>
      </c>
      <c r="J91" s="48" t="s">
        <v>457</v>
      </c>
      <c r="K91" s="35">
        <v>2019</v>
      </c>
      <c r="L91" s="48" t="s">
        <v>462</v>
      </c>
      <c r="M91" s="48">
        <v>1831</v>
      </c>
      <c r="N91" s="69" t="s">
        <v>475</v>
      </c>
      <c r="O91" s="67" t="s">
        <v>390</v>
      </c>
      <c r="P91" s="34" t="s">
        <v>239</v>
      </c>
      <c r="Q91" s="36" t="s">
        <v>238</v>
      </c>
    </row>
    <row r="92" spans="1:18" ht="25.05" customHeight="1" x14ac:dyDescent="0.4">
      <c r="A92" s="32" t="s">
        <v>778</v>
      </c>
      <c r="B92" s="20" t="s">
        <v>218</v>
      </c>
      <c r="C92" s="48" t="s">
        <v>447</v>
      </c>
      <c r="D92" s="48" t="s">
        <v>687</v>
      </c>
      <c r="E92" s="48" t="s">
        <v>684</v>
      </c>
      <c r="F92" s="42">
        <v>45496</v>
      </c>
      <c r="G92" s="72" t="s">
        <v>429</v>
      </c>
      <c r="H92" s="48">
        <v>12</v>
      </c>
      <c r="I92" s="43">
        <f t="shared" si="12"/>
        <v>45861</v>
      </c>
      <c r="J92" s="48" t="s">
        <v>457</v>
      </c>
      <c r="K92" s="35">
        <v>2019</v>
      </c>
      <c r="L92" s="48" t="s">
        <v>463</v>
      </c>
      <c r="M92" s="48">
        <v>1832</v>
      </c>
      <c r="N92" s="69" t="s">
        <v>476</v>
      </c>
      <c r="O92" s="67" t="s">
        <v>390</v>
      </c>
      <c r="P92" s="34" t="s">
        <v>239</v>
      </c>
      <c r="Q92" s="36" t="s">
        <v>238</v>
      </c>
    </row>
    <row r="93" spans="1:18" ht="25.05" customHeight="1" x14ac:dyDescent="0.4">
      <c r="A93" s="32" t="s">
        <v>779</v>
      </c>
      <c r="B93" s="20" t="s">
        <v>218</v>
      </c>
      <c r="C93" s="48" t="s">
        <v>448</v>
      </c>
      <c r="D93" s="53" t="s">
        <v>687</v>
      </c>
      <c r="E93" s="53" t="s">
        <v>234</v>
      </c>
      <c r="F93" s="42" t="s">
        <v>218</v>
      </c>
      <c r="G93" s="42" t="s">
        <v>218</v>
      </c>
      <c r="H93" s="42" t="s">
        <v>218</v>
      </c>
      <c r="I93" s="42" t="s">
        <v>218</v>
      </c>
      <c r="J93" s="48" t="s">
        <v>458</v>
      </c>
      <c r="K93" s="35">
        <v>2019</v>
      </c>
      <c r="L93" s="48" t="s">
        <v>464</v>
      </c>
      <c r="M93" s="48" t="s">
        <v>471</v>
      </c>
      <c r="N93" s="69" t="s">
        <v>477</v>
      </c>
      <c r="O93" s="48" t="s">
        <v>424</v>
      </c>
      <c r="P93" s="34" t="s">
        <v>239</v>
      </c>
      <c r="Q93" s="36" t="s">
        <v>238</v>
      </c>
      <c r="R93" s="104"/>
    </row>
    <row r="94" spans="1:18" ht="25.05" customHeight="1" x14ac:dyDescent="0.4">
      <c r="A94" s="32" t="s">
        <v>780</v>
      </c>
      <c r="B94" s="20" t="s">
        <v>218</v>
      </c>
      <c r="C94" s="48" t="s">
        <v>448</v>
      </c>
      <c r="D94" s="53" t="s">
        <v>687</v>
      </c>
      <c r="E94" s="53" t="s">
        <v>234</v>
      </c>
      <c r="F94" s="42" t="s">
        <v>218</v>
      </c>
      <c r="G94" s="42" t="s">
        <v>218</v>
      </c>
      <c r="H94" s="42" t="s">
        <v>218</v>
      </c>
      <c r="I94" s="42" t="s">
        <v>218</v>
      </c>
      <c r="J94" s="48" t="s">
        <v>458</v>
      </c>
      <c r="K94" s="35">
        <v>2019</v>
      </c>
      <c r="L94" s="48" t="s">
        <v>464</v>
      </c>
      <c r="M94" s="48" t="s">
        <v>472</v>
      </c>
      <c r="N94" s="69" t="s">
        <v>477</v>
      </c>
      <c r="O94" s="48" t="s">
        <v>424</v>
      </c>
      <c r="P94" s="34" t="s">
        <v>239</v>
      </c>
      <c r="Q94" s="36" t="s">
        <v>238</v>
      </c>
      <c r="R94" s="104"/>
    </row>
    <row r="95" spans="1:18" ht="25.05" customHeight="1" x14ac:dyDescent="0.4">
      <c r="A95" s="32" t="s">
        <v>781</v>
      </c>
      <c r="B95" s="20" t="s">
        <v>218</v>
      </c>
      <c r="C95" s="48" t="s">
        <v>449</v>
      </c>
      <c r="D95" s="53" t="s">
        <v>687</v>
      </c>
      <c r="E95" s="53" t="s">
        <v>234</v>
      </c>
      <c r="F95" s="42" t="s">
        <v>218</v>
      </c>
      <c r="G95" s="43" t="s">
        <v>218</v>
      </c>
      <c r="H95" s="43" t="s">
        <v>218</v>
      </c>
      <c r="I95" s="43" t="s">
        <v>218</v>
      </c>
      <c r="J95" s="48" t="s">
        <v>455</v>
      </c>
      <c r="K95" s="35">
        <v>2019</v>
      </c>
      <c r="L95" s="48">
        <v>4227</v>
      </c>
      <c r="M95" s="48">
        <v>3176441</v>
      </c>
      <c r="N95" s="69" t="s">
        <v>484</v>
      </c>
      <c r="O95" s="67" t="s">
        <v>390</v>
      </c>
      <c r="P95" s="34" t="s">
        <v>239</v>
      </c>
      <c r="Q95" s="36" t="s">
        <v>238</v>
      </c>
    </row>
    <row r="96" spans="1:18" ht="25.05" customHeight="1" x14ac:dyDescent="0.4">
      <c r="A96" s="32" t="s">
        <v>782</v>
      </c>
      <c r="B96" s="20" t="s">
        <v>218</v>
      </c>
      <c r="C96" s="48" t="s">
        <v>450</v>
      </c>
      <c r="D96" s="48" t="s">
        <v>687</v>
      </c>
      <c r="E96" s="48" t="s">
        <v>684</v>
      </c>
      <c r="F96" s="42">
        <v>45496</v>
      </c>
      <c r="G96" s="72" t="s">
        <v>429</v>
      </c>
      <c r="H96" s="48">
        <v>12</v>
      </c>
      <c r="I96" s="43">
        <f t="shared" si="12"/>
        <v>45861</v>
      </c>
      <c r="J96" s="48" t="s">
        <v>456</v>
      </c>
      <c r="K96" s="35">
        <v>2019</v>
      </c>
      <c r="L96" s="48" t="s">
        <v>465</v>
      </c>
      <c r="M96" s="48">
        <v>101848</v>
      </c>
      <c r="N96" s="69" t="s">
        <v>478</v>
      </c>
      <c r="O96" s="48" t="s">
        <v>485</v>
      </c>
      <c r="P96" s="34" t="s">
        <v>239</v>
      </c>
      <c r="Q96" s="36" t="s">
        <v>238</v>
      </c>
    </row>
    <row r="97" spans="1:18" ht="25.05" customHeight="1" x14ac:dyDescent="0.4">
      <c r="A97" s="32" t="s">
        <v>783</v>
      </c>
      <c r="B97" s="20" t="s">
        <v>218</v>
      </c>
      <c r="C97" s="48" t="s">
        <v>450</v>
      </c>
      <c r="D97" s="48" t="s">
        <v>687</v>
      </c>
      <c r="E97" s="48" t="s">
        <v>684</v>
      </c>
      <c r="F97" s="42">
        <v>45495</v>
      </c>
      <c r="G97" s="72" t="s">
        <v>429</v>
      </c>
      <c r="H97" s="48">
        <v>12</v>
      </c>
      <c r="I97" s="43">
        <f t="shared" si="12"/>
        <v>45860</v>
      </c>
      <c r="J97" s="48" t="s">
        <v>456</v>
      </c>
      <c r="K97" s="35">
        <v>2019</v>
      </c>
      <c r="L97" s="48" t="s">
        <v>466</v>
      </c>
      <c r="M97" s="48">
        <v>101227</v>
      </c>
      <c r="N97" s="69" t="s">
        <v>479</v>
      </c>
      <c r="O97" s="48" t="s">
        <v>485</v>
      </c>
      <c r="P97" s="34" t="s">
        <v>239</v>
      </c>
      <c r="Q97" s="36" t="s">
        <v>238</v>
      </c>
    </row>
    <row r="98" spans="1:18" ht="25.05" customHeight="1" x14ac:dyDescent="0.4">
      <c r="A98" s="32" t="s">
        <v>784</v>
      </c>
      <c r="B98" s="20" t="s">
        <v>218</v>
      </c>
      <c r="C98" s="48" t="s">
        <v>450</v>
      </c>
      <c r="D98" s="71" t="s">
        <v>687</v>
      </c>
      <c r="E98" s="71" t="s">
        <v>684</v>
      </c>
      <c r="F98" s="42">
        <v>45496</v>
      </c>
      <c r="G98" s="72" t="s">
        <v>429</v>
      </c>
      <c r="H98" s="48">
        <v>12</v>
      </c>
      <c r="I98" s="43">
        <f t="shared" si="12"/>
        <v>45861</v>
      </c>
      <c r="J98" s="48" t="s">
        <v>456</v>
      </c>
      <c r="K98" s="35">
        <v>2019</v>
      </c>
      <c r="L98" s="48" t="s">
        <v>467</v>
      </c>
      <c r="M98" s="48">
        <v>102592</v>
      </c>
      <c r="N98" s="69" t="s">
        <v>480</v>
      </c>
      <c r="O98" s="48" t="s">
        <v>236</v>
      </c>
      <c r="P98" s="34" t="s">
        <v>239</v>
      </c>
      <c r="Q98" s="36" t="s">
        <v>238</v>
      </c>
    </row>
    <row r="99" spans="1:18" ht="25.05" customHeight="1" x14ac:dyDescent="0.4">
      <c r="A99" s="32" t="s">
        <v>785</v>
      </c>
      <c r="B99" s="20" t="s">
        <v>218</v>
      </c>
      <c r="C99" s="70" t="s">
        <v>451</v>
      </c>
      <c r="D99" s="74" t="s">
        <v>687</v>
      </c>
      <c r="E99" s="74" t="s">
        <v>684</v>
      </c>
      <c r="F99" s="42">
        <v>45496</v>
      </c>
      <c r="G99" s="75" t="s">
        <v>429</v>
      </c>
      <c r="H99" s="70">
        <v>12</v>
      </c>
      <c r="I99" s="43">
        <f t="shared" si="12"/>
        <v>45861</v>
      </c>
      <c r="J99" s="70" t="s">
        <v>456</v>
      </c>
      <c r="K99" s="35">
        <v>2019</v>
      </c>
      <c r="L99" s="70" t="s">
        <v>468</v>
      </c>
      <c r="M99" s="70">
        <v>102479</v>
      </c>
      <c r="N99" s="76" t="s">
        <v>481</v>
      </c>
      <c r="O99" s="70" t="s">
        <v>236</v>
      </c>
      <c r="P99" s="34" t="s">
        <v>239</v>
      </c>
      <c r="Q99" s="36" t="s">
        <v>238</v>
      </c>
    </row>
    <row r="100" spans="1:18" ht="25.05" customHeight="1" x14ac:dyDescent="0.4">
      <c r="A100" s="32" t="s">
        <v>786</v>
      </c>
      <c r="B100" s="20" t="s">
        <v>218</v>
      </c>
      <c r="C100" s="70" t="s">
        <v>451</v>
      </c>
      <c r="D100" s="74" t="s">
        <v>687</v>
      </c>
      <c r="E100" s="74" t="s">
        <v>684</v>
      </c>
      <c r="F100" s="42">
        <v>45499</v>
      </c>
      <c r="G100" s="75" t="s">
        <v>429</v>
      </c>
      <c r="H100" s="70">
        <v>12</v>
      </c>
      <c r="I100" s="43">
        <f t="shared" si="12"/>
        <v>45864</v>
      </c>
      <c r="J100" s="70" t="s">
        <v>456</v>
      </c>
      <c r="K100" s="35">
        <v>2019</v>
      </c>
      <c r="L100" s="70" t="s">
        <v>468</v>
      </c>
      <c r="M100" s="70">
        <v>102478</v>
      </c>
      <c r="N100" s="76" t="s">
        <v>481</v>
      </c>
      <c r="O100" s="70" t="s">
        <v>236</v>
      </c>
      <c r="P100" s="34" t="s">
        <v>239</v>
      </c>
      <c r="Q100" s="36" t="s">
        <v>238</v>
      </c>
    </row>
    <row r="101" spans="1:18" ht="25.05" customHeight="1" x14ac:dyDescent="0.4">
      <c r="A101" s="32" t="s">
        <v>787</v>
      </c>
      <c r="B101" s="20" t="s">
        <v>218</v>
      </c>
      <c r="C101" s="70" t="s">
        <v>452</v>
      </c>
      <c r="D101" s="74" t="s">
        <v>687</v>
      </c>
      <c r="E101" s="74" t="s">
        <v>684</v>
      </c>
      <c r="F101" s="42">
        <v>45498</v>
      </c>
      <c r="G101" s="75" t="s">
        <v>429</v>
      </c>
      <c r="H101" s="70">
        <v>12</v>
      </c>
      <c r="I101" s="43">
        <f t="shared" si="12"/>
        <v>45863</v>
      </c>
      <c r="J101" s="70" t="s">
        <v>456</v>
      </c>
      <c r="K101" s="35">
        <v>2019</v>
      </c>
      <c r="L101" s="70" t="s">
        <v>469</v>
      </c>
      <c r="M101" s="70">
        <v>100485</v>
      </c>
      <c r="N101" s="76" t="s">
        <v>482</v>
      </c>
      <c r="O101" s="70" t="s">
        <v>485</v>
      </c>
      <c r="P101" s="34" t="s">
        <v>239</v>
      </c>
      <c r="Q101" s="36" t="s">
        <v>238</v>
      </c>
    </row>
    <row r="102" spans="1:18" ht="25.05" customHeight="1" x14ac:dyDescent="0.4">
      <c r="A102" s="32" t="s">
        <v>788</v>
      </c>
      <c r="B102" s="20" t="s">
        <v>218</v>
      </c>
      <c r="C102" s="70" t="s">
        <v>453</v>
      </c>
      <c r="D102" s="74" t="s">
        <v>687</v>
      </c>
      <c r="E102" s="74" t="s">
        <v>684</v>
      </c>
      <c r="F102" s="42">
        <v>45499</v>
      </c>
      <c r="G102" s="75" t="s">
        <v>429</v>
      </c>
      <c r="H102" s="70">
        <v>12</v>
      </c>
      <c r="I102" s="43">
        <f t="shared" si="12"/>
        <v>45864</v>
      </c>
      <c r="J102" s="70" t="s">
        <v>456</v>
      </c>
      <c r="K102" s="35">
        <v>2019</v>
      </c>
      <c r="L102" s="70" t="s">
        <v>469</v>
      </c>
      <c r="M102" s="70">
        <v>100486</v>
      </c>
      <c r="N102" s="76" t="s">
        <v>482</v>
      </c>
      <c r="O102" s="70" t="s">
        <v>485</v>
      </c>
      <c r="P102" s="34" t="s">
        <v>239</v>
      </c>
      <c r="Q102" s="36" t="s">
        <v>238</v>
      </c>
    </row>
    <row r="103" spans="1:18" ht="25.05" customHeight="1" x14ac:dyDescent="0.4">
      <c r="A103" s="32" t="s">
        <v>789</v>
      </c>
      <c r="B103" s="20" t="s">
        <v>218</v>
      </c>
      <c r="C103" s="70" t="s">
        <v>454</v>
      </c>
      <c r="D103" s="74" t="s">
        <v>687</v>
      </c>
      <c r="E103" s="74" t="s">
        <v>684</v>
      </c>
      <c r="F103" s="42">
        <v>45498</v>
      </c>
      <c r="G103" s="75" t="s">
        <v>429</v>
      </c>
      <c r="H103" s="70">
        <v>12</v>
      </c>
      <c r="I103" s="43">
        <f t="shared" si="12"/>
        <v>45863</v>
      </c>
      <c r="J103" s="70" t="s">
        <v>456</v>
      </c>
      <c r="K103" s="35">
        <v>2019</v>
      </c>
      <c r="L103" s="70" t="s">
        <v>470</v>
      </c>
      <c r="M103" s="70">
        <v>100363</v>
      </c>
      <c r="N103" s="76" t="s">
        <v>483</v>
      </c>
      <c r="O103" s="70" t="s">
        <v>236</v>
      </c>
      <c r="P103" s="34" t="s">
        <v>239</v>
      </c>
      <c r="Q103" s="36" t="s">
        <v>238</v>
      </c>
    </row>
    <row r="104" spans="1:18" ht="25.05" customHeight="1" x14ac:dyDescent="0.4">
      <c r="A104" s="32" t="s">
        <v>790</v>
      </c>
      <c r="B104" s="20" t="s">
        <v>218</v>
      </c>
      <c r="C104" s="48" t="s">
        <v>486</v>
      </c>
      <c r="D104" s="71" t="s">
        <v>687</v>
      </c>
      <c r="E104" s="71" t="s">
        <v>684</v>
      </c>
      <c r="F104" s="43">
        <v>45496</v>
      </c>
      <c r="G104" s="72" t="s">
        <v>429</v>
      </c>
      <c r="H104" s="48">
        <v>12</v>
      </c>
      <c r="I104" s="43">
        <f t="shared" si="12"/>
        <v>45861</v>
      </c>
      <c r="J104" s="48" t="s">
        <v>456</v>
      </c>
      <c r="K104" s="35">
        <v>2019</v>
      </c>
      <c r="L104" s="48" t="s">
        <v>504</v>
      </c>
      <c r="M104" s="48">
        <v>100931</v>
      </c>
      <c r="N104" s="69" t="s">
        <v>516</v>
      </c>
      <c r="O104" s="48" t="s">
        <v>236</v>
      </c>
      <c r="P104" s="34" t="s">
        <v>525</v>
      </c>
      <c r="Q104" s="36" t="s">
        <v>526</v>
      </c>
    </row>
    <row r="105" spans="1:18" ht="25.05" customHeight="1" x14ac:dyDescent="0.4">
      <c r="A105" s="32" t="s">
        <v>791</v>
      </c>
      <c r="B105" s="20" t="s">
        <v>218</v>
      </c>
      <c r="C105" s="48" t="s">
        <v>487</v>
      </c>
      <c r="D105" s="53" t="s">
        <v>687</v>
      </c>
      <c r="E105" s="53" t="s">
        <v>234</v>
      </c>
      <c r="F105" s="43" t="s">
        <v>218</v>
      </c>
      <c r="G105" s="43" t="s">
        <v>218</v>
      </c>
      <c r="H105" s="43" t="s">
        <v>218</v>
      </c>
      <c r="I105" s="43" t="s">
        <v>218</v>
      </c>
      <c r="J105" s="48" t="s">
        <v>500</v>
      </c>
      <c r="K105" s="35">
        <v>2019</v>
      </c>
      <c r="L105" s="48" t="s">
        <v>505</v>
      </c>
      <c r="M105" s="48">
        <v>10033</v>
      </c>
      <c r="N105" s="69" t="s">
        <v>517</v>
      </c>
      <c r="O105" s="48" t="s">
        <v>236</v>
      </c>
      <c r="P105" s="34" t="s">
        <v>524</v>
      </c>
      <c r="Q105" s="36" t="s">
        <v>526</v>
      </c>
    </row>
    <row r="106" spans="1:18" ht="25.05" customHeight="1" x14ac:dyDescent="0.4">
      <c r="A106" s="32" t="s">
        <v>792</v>
      </c>
      <c r="B106" s="20" t="s">
        <v>218</v>
      </c>
      <c r="C106" s="48" t="s">
        <v>488</v>
      </c>
      <c r="D106" s="77" t="s">
        <v>687</v>
      </c>
      <c r="E106" s="77" t="s">
        <v>684</v>
      </c>
      <c r="F106" s="42">
        <v>45497</v>
      </c>
      <c r="G106" s="72" t="s">
        <v>429</v>
      </c>
      <c r="H106" s="48">
        <v>12</v>
      </c>
      <c r="I106" s="43">
        <f t="shared" si="12"/>
        <v>45862</v>
      </c>
      <c r="J106" s="48" t="s">
        <v>456</v>
      </c>
      <c r="K106" s="35">
        <v>2019</v>
      </c>
      <c r="L106" s="48" t="s">
        <v>506</v>
      </c>
      <c r="M106" s="48" t="s">
        <v>514</v>
      </c>
      <c r="N106" s="69" t="s">
        <v>484</v>
      </c>
      <c r="O106" s="48" t="s">
        <v>236</v>
      </c>
      <c r="P106" s="34" t="s">
        <v>525</v>
      </c>
      <c r="Q106" s="36" t="s">
        <v>526</v>
      </c>
    </row>
    <row r="107" spans="1:18" ht="25.05" customHeight="1" x14ac:dyDescent="0.4">
      <c r="A107" s="32" t="s">
        <v>793</v>
      </c>
      <c r="B107" s="20" t="s">
        <v>218</v>
      </c>
      <c r="C107" s="48" t="s">
        <v>489</v>
      </c>
      <c r="D107" s="53" t="s">
        <v>687</v>
      </c>
      <c r="E107" s="53" t="s">
        <v>234</v>
      </c>
      <c r="F107" s="43" t="s">
        <v>218</v>
      </c>
      <c r="G107" s="43" t="s">
        <v>218</v>
      </c>
      <c r="H107" s="43" t="s">
        <v>218</v>
      </c>
      <c r="I107" s="43" t="s">
        <v>218</v>
      </c>
      <c r="J107" s="48" t="s">
        <v>456</v>
      </c>
      <c r="K107" s="35">
        <v>2019</v>
      </c>
      <c r="L107" s="48" t="s">
        <v>507</v>
      </c>
      <c r="M107" s="48">
        <v>101456</v>
      </c>
      <c r="N107" s="69" t="s">
        <v>484</v>
      </c>
      <c r="O107" s="48" t="s">
        <v>485</v>
      </c>
      <c r="P107" s="34" t="s">
        <v>524</v>
      </c>
      <c r="Q107" s="36" t="s">
        <v>526</v>
      </c>
    </row>
    <row r="108" spans="1:18" ht="25.05" customHeight="1" x14ac:dyDescent="0.4">
      <c r="A108" s="32" t="s">
        <v>794</v>
      </c>
      <c r="B108" s="20" t="s">
        <v>218</v>
      </c>
      <c r="C108" s="48" t="s">
        <v>489</v>
      </c>
      <c r="D108" s="53" t="s">
        <v>687</v>
      </c>
      <c r="E108" s="53" t="s">
        <v>234</v>
      </c>
      <c r="F108" s="43" t="s">
        <v>218</v>
      </c>
      <c r="G108" s="43" t="s">
        <v>218</v>
      </c>
      <c r="H108" s="43" t="s">
        <v>218</v>
      </c>
      <c r="I108" s="43" t="s">
        <v>218</v>
      </c>
      <c r="J108" s="48" t="s">
        <v>456</v>
      </c>
      <c r="K108" s="35">
        <v>2019</v>
      </c>
      <c r="L108" s="48" t="s">
        <v>507</v>
      </c>
      <c r="M108" s="48">
        <v>101437</v>
      </c>
      <c r="N108" s="69" t="s">
        <v>484</v>
      </c>
      <c r="O108" s="48" t="s">
        <v>236</v>
      </c>
      <c r="P108" s="34" t="s">
        <v>524</v>
      </c>
      <c r="Q108" s="36" t="s">
        <v>526</v>
      </c>
    </row>
    <row r="109" spans="1:18" ht="25.05" customHeight="1" x14ac:dyDescent="0.4">
      <c r="A109" s="32" t="s">
        <v>795</v>
      </c>
      <c r="B109" s="20" t="s">
        <v>218</v>
      </c>
      <c r="C109" s="48" t="s">
        <v>490</v>
      </c>
      <c r="D109" s="53" t="s">
        <v>687</v>
      </c>
      <c r="E109" s="53" t="s">
        <v>234</v>
      </c>
      <c r="F109" s="43" t="s">
        <v>218</v>
      </c>
      <c r="G109" s="43" t="s">
        <v>218</v>
      </c>
      <c r="H109" s="43" t="s">
        <v>218</v>
      </c>
      <c r="I109" s="43" t="s">
        <v>218</v>
      </c>
      <c r="J109" s="48" t="s">
        <v>456</v>
      </c>
      <c r="K109" s="35">
        <v>2019</v>
      </c>
      <c r="L109" s="48" t="s">
        <v>508</v>
      </c>
      <c r="M109" s="48" t="s">
        <v>515</v>
      </c>
      <c r="N109" s="69" t="s">
        <v>484</v>
      </c>
      <c r="O109" s="48" t="s">
        <v>485</v>
      </c>
      <c r="P109" s="34" t="s">
        <v>524</v>
      </c>
      <c r="Q109" s="36" t="s">
        <v>526</v>
      </c>
    </row>
    <row r="110" spans="1:18" ht="25.05" customHeight="1" x14ac:dyDescent="0.4">
      <c r="A110" s="32" t="s">
        <v>796</v>
      </c>
      <c r="B110" s="20" t="s">
        <v>218</v>
      </c>
      <c r="C110" s="48" t="s">
        <v>443</v>
      </c>
      <c r="D110" s="77" t="s">
        <v>687</v>
      </c>
      <c r="E110" s="77" t="s">
        <v>684</v>
      </c>
      <c r="F110" s="42">
        <v>45496</v>
      </c>
      <c r="G110" s="72" t="s">
        <v>429</v>
      </c>
      <c r="H110" s="48">
        <v>12</v>
      </c>
      <c r="I110" s="43">
        <f t="shared" ref="I110" si="13">DATE(YEAR(F110)+1,MONTH(F110),DAY(F110))</f>
        <v>45861</v>
      </c>
      <c r="J110" s="48" t="s">
        <v>455</v>
      </c>
      <c r="K110" s="35">
        <v>2019</v>
      </c>
      <c r="L110" s="48">
        <v>4192</v>
      </c>
      <c r="M110" s="48">
        <v>3190932</v>
      </c>
      <c r="N110" s="69" t="s">
        <v>484</v>
      </c>
      <c r="O110" s="48" t="s">
        <v>424</v>
      </c>
      <c r="P110" s="34" t="s">
        <v>524</v>
      </c>
      <c r="Q110" s="36" t="s">
        <v>526</v>
      </c>
      <c r="R110" s="104"/>
    </row>
    <row r="111" spans="1:18" ht="25.05" customHeight="1" x14ac:dyDescent="0.4">
      <c r="A111" s="32" t="s">
        <v>797</v>
      </c>
      <c r="B111" s="20" t="s">
        <v>218</v>
      </c>
      <c r="C111" s="48" t="s">
        <v>491</v>
      </c>
      <c r="D111" s="81" t="s">
        <v>687</v>
      </c>
      <c r="E111" s="81" t="s">
        <v>499</v>
      </c>
      <c r="F111" s="43" t="s">
        <v>218</v>
      </c>
      <c r="G111" s="43" t="s">
        <v>218</v>
      </c>
      <c r="H111" s="43" t="s">
        <v>218</v>
      </c>
      <c r="I111" s="43" t="s">
        <v>218</v>
      </c>
      <c r="J111" s="48" t="s">
        <v>455</v>
      </c>
      <c r="K111" s="35">
        <v>2019</v>
      </c>
      <c r="L111" s="48">
        <v>4182</v>
      </c>
      <c r="M111" s="48">
        <v>3138352</v>
      </c>
      <c r="N111" s="69" t="s">
        <v>484</v>
      </c>
      <c r="O111" s="67" t="s">
        <v>390</v>
      </c>
      <c r="P111" s="34" t="s">
        <v>524</v>
      </c>
      <c r="Q111" s="36" t="s">
        <v>526</v>
      </c>
    </row>
    <row r="112" spans="1:18" ht="25.05" customHeight="1" x14ac:dyDescent="0.4">
      <c r="A112" s="32" t="s">
        <v>798</v>
      </c>
      <c r="B112" s="20" t="s">
        <v>218</v>
      </c>
      <c r="C112" s="48" t="s">
        <v>491</v>
      </c>
      <c r="D112" s="53" t="s">
        <v>687</v>
      </c>
      <c r="E112" s="53" t="s">
        <v>234</v>
      </c>
      <c r="F112" s="43" t="s">
        <v>218</v>
      </c>
      <c r="G112" s="43" t="s">
        <v>218</v>
      </c>
      <c r="H112" s="43" t="s">
        <v>218</v>
      </c>
      <c r="I112" s="43" t="s">
        <v>218</v>
      </c>
      <c r="J112" s="48" t="s">
        <v>455</v>
      </c>
      <c r="K112" s="35">
        <v>2019</v>
      </c>
      <c r="L112" s="48">
        <v>4182</v>
      </c>
      <c r="M112" s="48">
        <v>3186500</v>
      </c>
      <c r="N112" s="69" t="s">
        <v>484</v>
      </c>
      <c r="O112" s="48" t="s">
        <v>424</v>
      </c>
      <c r="P112" s="34" t="s">
        <v>524</v>
      </c>
      <c r="Q112" s="36" t="s">
        <v>526</v>
      </c>
    </row>
    <row r="113" spans="1:18" ht="25.05" customHeight="1" x14ac:dyDescent="0.4">
      <c r="A113" s="32" t="s">
        <v>799</v>
      </c>
      <c r="B113" s="20" t="s">
        <v>218</v>
      </c>
      <c r="C113" s="48" t="s">
        <v>492</v>
      </c>
      <c r="D113" s="53" t="s">
        <v>687</v>
      </c>
      <c r="E113" s="53" t="s">
        <v>234</v>
      </c>
      <c r="F113" s="43" t="s">
        <v>218</v>
      </c>
      <c r="G113" s="43" t="s">
        <v>218</v>
      </c>
      <c r="H113" s="43" t="s">
        <v>218</v>
      </c>
      <c r="I113" s="43" t="s">
        <v>218</v>
      </c>
      <c r="J113" s="48" t="s">
        <v>456</v>
      </c>
      <c r="K113" s="35">
        <v>2019</v>
      </c>
      <c r="L113" s="48" t="s">
        <v>509</v>
      </c>
      <c r="M113" s="48">
        <v>101124</v>
      </c>
      <c r="N113" s="69" t="s">
        <v>518</v>
      </c>
      <c r="O113" s="48" t="s">
        <v>485</v>
      </c>
      <c r="P113" s="34" t="s">
        <v>524</v>
      </c>
      <c r="Q113" s="36" t="s">
        <v>526</v>
      </c>
    </row>
    <row r="114" spans="1:18" ht="25.05" customHeight="1" x14ac:dyDescent="0.4">
      <c r="A114" s="32" t="s">
        <v>800</v>
      </c>
      <c r="B114" s="20" t="s">
        <v>218</v>
      </c>
      <c r="C114" s="48" t="s">
        <v>493</v>
      </c>
      <c r="D114" s="53" t="s">
        <v>687</v>
      </c>
      <c r="E114" s="53" t="s">
        <v>234</v>
      </c>
      <c r="F114" s="43" t="s">
        <v>218</v>
      </c>
      <c r="G114" s="43" t="s">
        <v>218</v>
      </c>
      <c r="H114" s="43" t="s">
        <v>218</v>
      </c>
      <c r="I114" s="43" t="s">
        <v>218</v>
      </c>
      <c r="J114" s="48" t="s">
        <v>456</v>
      </c>
      <c r="K114" s="35">
        <v>2019</v>
      </c>
      <c r="L114" s="48" t="s">
        <v>510</v>
      </c>
      <c r="M114" s="48">
        <v>100109</v>
      </c>
      <c r="N114" s="69" t="s">
        <v>519</v>
      </c>
      <c r="O114" s="48" t="s">
        <v>485</v>
      </c>
      <c r="P114" s="34" t="s">
        <v>524</v>
      </c>
      <c r="Q114" s="36" t="s">
        <v>526</v>
      </c>
    </row>
    <row r="115" spans="1:18" ht="25.05" customHeight="1" x14ac:dyDescent="0.4">
      <c r="A115" s="32" t="s">
        <v>801</v>
      </c>
      <c r="B115" s="20" t="s">
        <v>218</v>
      </c>
      <c r="C115" s="48" t="s">
        <v>494</v>
      </c>
      <c r="D115" s="71" t="s">
        <v>687</v>
      </c>
      <c r="E115" s="71" t="s">
        <v>684</v>
      </c>
      <c r="F115" s="43">
        <v>45132</v>
      </c>
      <c r="G115" s="72" t="s">
        <v>429</v>
      </c>
      <c r="H115" s="48">
        <v>24</v>
      </c>
      <c r="I115" s="43">
        <f t="shared" ref="I115:I120" si="14">DATE(YEAR(F115)+2,MONTH(F115),DAY(F115))</f>
        <v>45863</v>
      </c>
      <c r="J115" s="48" t="s">
        <v>456</v>
      </c>
      <c r="K115" s="35">
        <v>2019</v>
      </c>
      <c r="L115" s="48" t="s">
        <v>511</v>
      </c>
      <c r="M115" s="48">
        <v>100900</v>
      </c>
      <c r="N115" s="48" t="s">
        <v>520</v>
      </c>
      <c r="O115" s="48" t="s">
        <v>485</v>
      </c>
      <c r="P115" s="34" t="s">
        <v>525</v>
      </c>
      <c r="Q115" s="36" t="s">
        <v>526</v>
      </c>
    </row>
    <row r="116" spans="1:18" ht="25.05" customHeight="1" x14ac:dyDescent="0.4">
      <c r="A116" s="32" t="s">
        <v>802</v>
      </c>
      <c r="B116" s="20" t="s">
        <v>218</v>
      </c>
      <c r="C116" s="48" t="s">
        <v>495</v>
      </c>
      <c r="D116" s="71" t="s">
        <v>687</v>
      </c>
      <c r="E116" s="71" t="s">
        <v>684</v>
      </c>
      <c r="F116" s="43">
        <v>45132</v>
      </c>
      <c r="G116" s="72" t="s">
        <v>429</v>
      </c>
      <c r="H116" s="48">
        <v>24</v>
      </c>
      <c r="I116" s="43">
        <f t="shared" si="14"/>
        <v>45863</v>
      </c>
      <c r="J116" s="48" t="s">
        <v>456</v>
      </c>
      <c r="K116" s="35">
        <v>2019</v>
      </c>
      <c r="L116" s="48" t="s">
        <v>512</v>
      </c>
      <c r="M116" s="48">
        <v>100974</v>
      </c>
      <c r="N116" s="69" t="s">
        <v>521</v>
      </c>
      <c r="O116" s="48" t="s">
        <v>485</v>
      </c>
      <c r="P116" s="34" t="s">
        <v>525</v>
      </c>
      <c r="Q116" s="36" t="s">
        <v>526</v>
      </c>
    </row>
    <row r="117" spans="1:18" ht="25.05" customHeight="1" x14ac:dyDescent="0.4">
      <c r="A117" s="90" t="s">
        <v>803</v>
      </c>
      <c r="B117" s="35" t="s">
        <v>218</v>
      </c>
      <c r="C117" s="91" t="s">
        <v>496</v>
      </c>
      <c r="D117" s="128" t="s">
        <v>687</v>
      </c>
      <c r="E117" s="128" t="s">
        <v>684</v>
      </c>
      <c r="F117" s="118">
        <v>45503</v>
      </c>
      <c r="G117" s="117" t="s">
        <v>429</v>
      </c>
      <c r="H117" s="91">
        <v>24</v>
      </c>
      <c r="I117" s="118">
        <f t="shared" si="14"/>
        <v>46233</v>
      </c>
      <c r="J117" s="91" t="s">
        <v>501</v>
      </c>
      <c r="K117" s="35">
        <v>2019</v>
      </c>
      <c r="L117" s="121" t="s">
        <v>513</v>
      </c>
      <c r="M117" s="91">
        <v>1242</v>
      </c>
      <c r="N117" s="121" t="s">
        <v>522</v>
      </c>
      <c r="O117" s="91" t="s">
        <v>485</v>
      </c>
      <c r="P117" s="34" t="s">
        <v>525</v>
      </c>
      <c r="Q117" s="36" t="s">
        <v>526</v>
      </c>
    </row>
    <row r="118" spans="1:18" ht="25.05" customHeight="1" x14ac:dyDescent="0.4">
      <c r="A118" s="90" t="s">
        <v>804</v>
      </c>
      <c r="B118" s="82" t="s">
        <v>218</v>
      </c>
      <c r="C118" s="122" t="s">
        <v>496</v>
      </c>
      <c r="D118" s="129" t="s">
        <v>687</v>
      </c>
      <c r="E118" s="129" t="s">
        <v>684</v>
      </c>
      <c r="F118" s="116">
        <v>45140</v>
      </c>
      <c r="G118" s="131" t="s">
        <v>429</v>
      </c>
      <c r="H118" s="122">
        <v>24</v>
      </c>
      <c r="I118" s="116">
        <f t="shared" si="14"/>
        <v>45871</v>
      </c>
      <c r="J118" s="122" t="s">
        <v>501</v>
      </c>
      <c r="K118" s="82">
        <v>2019</v>
      </c>
      <c r="L118" s="122" t="s">
        <v>513</v>
      </c>
      <c r="M118" s="122">
        <v>1241</v>
      </c>
      <c r="N118" s="133" t="s">
        <v>522</v>
      </c>
      <c r="O118" s="122" t="s">
        <v>485</v>
      </c>
      <c r="P118" s="87" t="s">
        <v>525</v>
      </c>
      <c r="Q118" s="84" t="s">
        <v>526</v>
      </c>
    </row>
    <row r="119" spans="1:18" ht="25.05" customHeight="1" x14ac:dyDescent="0.4">
      <c r="A119" s="90" t="s">
        <v>805</v>
      </c>
      <c r="B119" s="35" t="s">
        <v>218</v>
      </c>
      <c r="C119" s="91" t="s">
        <v>497</v>
      </c>
      <c r="D119" s="128" t="s">
        <v>687</v>
      </c>
      <c r="E119" s="128" t="s">
        <v>684</v>
      </c>
      <c r="F119" s="118">
        <v>45132</v>
      </c>
      <c r="G119" s="117" t="s">
        <v>429</v>
      </c>
      <c r="H119" s="91">
        <v>24</v>
      </c>
      <c r="I119" s="118">
        <f t="shared" si="14"/>
        <v>45863</v>
      </c>
      <c r="J119" s="130" t="s">
        <v>502</v>
      </c>
      <c r="K119" s="35">
        <v>2019</v>
      </c>
      <c r="L119" s="91">
        <v>3117</v>
      </c>
      <c r="M119" s="132">
        <v>227048</v>
      </c>
      <c r="N119" s="121" t="s">
        <v>523</v>
      </c>
      <c r="O119" s="91" t="s">
        <v>485</v>
      </c>
      <c r="P119" s="34" t="s">
        <v>525</v>
      </c>
      <c r="Q119" s="36" t="s">
        <v>526</v>
      </c>
    </row>
    <row r="120" spans="1:18" ht="25.05" customHeight="1" x14ac:dyDescent="0.4">
      <c r="A120" s="90" t="s">
        <v>806</v>
      </c>
      <c r="B120" s="35" t="s">
        <v>218</v>
      </c>
      <c r="C120" s="91" t="s">
        <v>497</v>
      </c>
      <c r="D120" s="128" t="s">
        <v>687</v>
      </c>
      <c r="E120" s="128" t="s">
        <v>684</v>
      </c>
      <c r="F120" s="116">
        <v>45498</v>
      </c>
      <c r="G120" s="117" t="s">
        <v>429</v>
      </c>
      <c r="H120" s="91">
        <v>24</v>
      </c>
      <c r="I120" s="118">
        <f t="shared" si="14"/>
        <v>46228</v>
      </c>
      <c r="J120" s="130" t="s">
        <v>502</v>
      </c>
      <c r="K120" s="35">
        <v>2019</v>
      </c>
      <c r="L120" s="91">
        <v>3117</v>
      </c>
      <c r="M120" s="132">
        <v>227047</v>
      </c>
      <c r="N120" s="121" t="s">
        <v>523</v>
      </c>
      <c r="O120" s="91" t="s">
        <v>485</v>
      </c>
      <c r="P120" s="34" t="s">
        <v>525</v>
      </c>
      <c r="Q120" s="36" t="s">
        <v>526</v>
      </c>
    </row>
    <row r="121" spans="1:18" ht="25.05" customHeight="1" x14ac:dyDescent="0.4">
      <c r="A121" s="32" t="s">
        <v>807</v>
      </c>
      <c r="B121" s="20" t="s">
        <v>218</v>
      </c>
      <c r="C121" s="48" t="s">
        <v>498</v>
      </c>
      <c r="D121" s="71" t="s">
        <v>687</v>
      </c>
      <c r="E121" s="71" t="s">
        <v>684</v>
      </c>
      <c r="F121" s="43">
        <v>45132</v>
      </c>
      <c r="G121" s="72" t="s">
        <v>429</v>
      </c>
      <c r="H121" s="48">
        <v>24</v>
      </c>
      <c r="I121" s="43">
        <f t="shared" ref="I121" si="15">DATE(YEAR(F121)+2,MONTH(F121),DAY(F121))</f>
        <v>45863</v>
      </c>
      <c r="J121" s="48" t="s">
        <v>503</v>
      </c>
      <c r="K121" s="35">
        <v>2019</v>
      </c>
      <c r="L121" s="48" t="s">
        <v>529</v>
      </c>
      <c r="M121" s="48">
        <v>20875</v>
      </c>
      <c r="N121" s="69" t="s">
        <v>535</v>
      </c>
      <c r="O121" s="48" t="s">
        <v>485</v>
      </c>
      <c r="P121" s="34" t="s">
        <v>525</v>
      </c>
      <c r="Q121" s="36" t="s">
        <v>238</v>
      </c>
    </row>
    <row r="122" spans="1:18" ht="25.05" customHeight="1" x14ac:dyDescent="0.4">
      <c r="A122" s="32" t="s">
        <v>808</v>
      </c>
      <c r="B122" s="20" t="s">
        <v>218</v>
      </c>
      <c r="C122" s="48" t="s">
        <v>393</v>
      </c>
      <c r="D122" s="71" t="s">
        <v>687</v>
      </c>
      <c r="E122" s="71" t="s">
        <v>684</v>
      </c>
      <c r="F122" s="43">
        <v>45496</v>
      </c>
      <c r="G122" s="72" t="s">
        <v>429</v>
      </c>
      <c r="H122" s="48">
        <v>12</v>
      </c>
      <c r="I122" s="43">
        <f t="shared" ref="I122:I141" si="16">DATE(YEAR(F122)+1,MONTH(F122),DAY(F122))</f>
        <v>45861</v>
      </c>
      <c r="J122" s="48" t="s">
        <v>456</v>
      </c>
      <c r="K122" s="35">
        <v>2019</v>
      </c>
      <c r="L122" s="48" t="s">
        <v>530</v>
      </c>
      <c r="M122" s="48">
        <v>100725</v>
      </c>
      <c r="N122" s="69" t="s">
        <v>536</v>
      </c>
      <c r="O122" s="48" t="s">
        <v>485</v>
      </c>
      <c r="P122" s="34" t="s">
        <v>525</v>
      </c>
      <c r="Q122" s="36" t="s">
        <v>238</v>
      </c>
      <c r="R122" s="104"/>
    </row>
    <row r="123" spans="1:18" ht="25.05" customHeight="1" x14ac:dyDescent="0.4">
      <c r="A123" s="32" t="s">
        <v>809</v>
      </c>
      <c r="B123" s="20" t="s">
        <v>218</v>
      </c>
      <c r="C123" s="48" t="s">
        <v>393</v>
      </c>
      <c r="D123" s="71" t="s">
        <v>687</v>
      </c>
      <c r="E123" s="71" t="s">
        <v>684</v>
      </c>
      <c r="F123" s="42">
        <v>45498</v>
      </c>
      <c r="G123" s="72" t="s">
        <v>429</v>
      </c>
      <c r="H123" s="48">
        <v>12</v>
      </c>
      <c r="I123" s="43">
        <f t="shared" si="16"/>
        <v>45863</v>
      </c>
      <c r="J123" s="48" t="s">
        <v>456</v>
      </c>
      <c r="K123" s="35">
        <v>2019</v>
      </c>
      <c r="L123" s="48" t="s">
        <v>532</v>
      </c>
      <c r="M123" s="48">
        <v>101207</v>
      </c>
      <c r="N123" s="69" t="s">
        <v>538</v>
      </c>
      <c r="O123" s="48" t="s">
        <v>485</v>
      </c>
      <c r="P123" s="34" t="s">
        <v>525</v>
      </c>
      <c r="Q123" s="36" t="s">
        <v>238</v>
      </c>
      <c r="R123" s="104"/>
    </row>
    <row r="124" spans="1:18" ht="25.05" customHeight="1" x14ac:dyDescent="0.4">
      <c r="A124" s="32" t="s">
        <v>810</v>
      </c>
      <c r="B124" s="20" t="s">
        <v>218</v>
      </c>
      <c r="C124" s="48" t="s">
        <v>527</v>
      </c>
      <c r="D124" s="71" t="s">
        <v>687</v>
      </c>
      <c r="E124" s="71" t="s">
        <v>684</v>
      </c>
      <c r="F124" s="42">
        <v>45496</v>
      </c>
      <c r="G124" s="72" t="s">
        <v>429</v>
      </c>
      <c r="H124" s="48">
        <v>12</v>
      </c>
      <c r="I124" s="43">
        <f t="shared" si="16"/>
        <v>45861</v>
      </c>
      <c r="J124" s="48" t="s">
        <v>528</v>
      </c>
      <c r="K124" s="35">
        <v>2019</v>
      </c>
      <c r="L124" s="48" t="s">
        <v>533</v>
      </c>
      <c r="M124" s="48">
        <v>1001665418</v>
      </c>
      <c r="N124" s="69" t="s">
        <v>484</v>
      </c>
      <c r="O124" s="48" t="s">
        <v>424</v>
      </c>
      <c r="P124" s="34" t="s">
        <v>525</v>
      </c>
      <c r="Q124" s="36" t="s">
        <v>238</v>
      </c>
      <c r="R124" s="104"/>
    </row>
    <row r="125" spans="1:18" ht="25.05" customHeight="1" x14ac:dyDescent="0.4">
      <c r="A125" s="32" t="s">
        <v>811</v>
      </c>
      <c r="B125" s="20" t="s">
        <v>218</v>
      </c>
      <c r="C125" s="48" t="s">
        <v>527</v>
      </c>
      <c r="D125" s="71" t="s">
        <v>687</v>
      </c>
      <c r="E125" s="71" t="s">
        <v>684</v>
      </c>
      <c r="F125" s="42">
        <v>45496</v>
      </c>
      <c r="G125" s="72" t="s">
        <v>429</v>
      </c>
      <c r="H125" s="48">
        <v>12</v>
      </c>
      <c r="I125" s="43">
        <f t="shared" si="16"/>
        <v>45861</v>
      </c>
      <c r="J125" s="48" t="s">
        <v>456</v>
      </c>
      <c r="K125" s="35">
        <v>2019</v>
      </c>
      <c r="L125" s="48" t="s">
        <v>534</v>
      </c>
      <c r="M125" s="48">
        <v>102237</v>
      </c>
      <c r="N125" s="69" t="s">
        <v>484</v>
      </c>
      <c r="O125" s="48" t="s">
        <v>424</v>
      </c>
      <c r="P125" s="34" t="s">
        <v>525</v>
      </c>
      <c r="Q125" s="36" t="s">
        <v>238</v>
      </c>
      <c r="R125" s="104"/>
    </row>
    <row r="126" spans="1:18" ht="25.05" customHeight="1" x14ac:dyDescent="0.4">
      <c r="A126" s="32" t="s">
        <v>812</v>
      </c>
      <c r="B126" s="20" t="s">
        <v>218</v>
      </c>
      <c r="C126" s="48" t="s">
        <v>527</v>
      </c>
      <c r="D126" s="48" t="s">
        <v>687</v>
      </c>
      <c r="E126" s="48" t="s">
        <v>684</v>
      </c>
      <c r="F126" s="42">
        <v>45496</v>
      </c>
      <c r="G126" s="72" t="s">
        <v>429</v>
      </c>
      <c r="H126" s="48">
        <v>12</v>
      </c>
      <c r="I126" s="43">
        <f t="shared" si="16"/>
        <v>45861</v>
      </c>
      <c r="J126" s="48" t="s">
        <v>456</v>
      </c>
      <c r="K126" s="35">
        <v>2019</v>
      </c>
      <c r="L126" s="48" t="s">
        <v>534</v>
      </c>
      <c r="M126" s="48">
        <v>102242</v>
      </c>
      <c r="N126" s="69" t="s">
        <v>484</v>
      </c>
      <c r="O126" s="48" t="s">
        <v>424</v>
      </c>
      <c r="P126" s="34" t="s">
        <v>525</v>
      </c>
      <c r="Q126" s="36" t="s">
        <v>238</v>
      </c>
      <c r="R126" s="104"/>
    </row>
    <row r="127" spans="1:18" ht="25.05" customHeight="1" x14ac:dyDescent="0.4">
      <c r="A127" s="32" t="s">
        <v>813</v>
      </c>
      <c r="B127" s="20" t="s">
        <v>218</v>
      </c>
      <c r="C127" s="48" t="s">
        <v>527</v>
      </c>
      <c r="D127" s="48" t="s">
        <v>687</v>
      </c>
      <c r="E127" s="48" t="s">
        <v>684</v>
      </c>
      <c r="F127" s="42">
        <v>45496</v>
      </c>
      <c r="G127" s="72" t="s">
        <v>429</v>
      </c>
      <c r="H127" s="48">
        <v>12</v>
      </c>
      <c r="I127" s="43">
        <f t="shared" si="16"/>
        <v>45861</v>
      </c>
      <c r="J127" s="48" t="s">
        <v>456</v>
      </c>
      <c r="K127" s="35">
        <v>2019</v>
      </c>
      <c r="L127" s="48" t="s">
        <v>534</v>
      </c>
      <c r="M127" s="48">
        <v>102243</v>
      </c>
      <c r="N127" s="69" t="s">
        <v>484</v>
      </c>
      <c r="O127" s="48" t="s">
        <v>424</v>
      </c>
      <c r="P127" s="34" t="s">
        <v>525</v>
      </c>
      <c r="Q127" s="36" t="s">
        <v>238</v>
      </c>
      <c r="R127" s="104"/>
    </row>
    <row r="128" spans="1:18" ht="25.05" customHeight="1" x14ac:dyDescent="0.4">
      <c r="A128" s="32" t="s">
        <v>814</v>
      </c>
      <c r="B128" s="20" t="s">
        <v>218</v>
      </c>
      <c r="C128" s="48" t="s">
        <v>539</v>
      </c>
      <c r="D128" s="71" t="s">
        <v>687</v>
      </c>
      <c r="E128" s="71" t="s">
        <v>684</v>
      </c>
      <c r="F128" s="42">
        <v>45499</v>
      </c>
      <c r="G128" s="72" t="s">
        <v>429</v>
      </c>
      <c r="H128" s="48">
        <v>12</v>
      </c>
      <c r="I128" s="43">
        <f t="shared" si="16"/>
        <v>45864</v>
      </c>
      <c r="J128" s="48" t="s">
        <v>548</v>
      </c>
      <c r="K128" s="35">
        <v>2019</v>
      </c>
      <c r="L128" s="48" t="s">
        <v>554</v>
      </c>
      <c r="M128" s="48">
        <v>14041913130</v>
      </c>
      <c r="N128" s="69" t="s">
        <v>484</v>
      </c>
      <c r="O128" s="48" t="s">
        <v>236</v>
      </c>
      <c r="P128" s="34" t="s">
        <v>525</v>
      </c>
      <c r="Q128" s="36" t="s">
        <v>238</v>
      </c>
      <c r="R128" s="104"/>
    </row>
    <row r="129" spans="1:18" ht="25.05" customHeight="1" x14ac:dyDescent="0.4">
      <c r="A129" s="32" t="s">
        <v>815</v>
      </c>
      <c r="B129" s="20" t="s">
        <v>218</v>
      </c>
      <c r="C129" s="48" t="s">
        <v>540</v>
      </c>
      <c r="D129" s="71" t="s">
        <v>687</v>
      </c>
      <c r="E129" s="71" t="s">
        <v>684</v>
      </c>
      <c r="F129" s="42">
        <v>45499</v>
      </c>
      <c r="G129" s="72" t="s">
        <v>429</v>
      </c>
      <c r="H129" s="48">
        <v>12</v>
      </c>
      <c r="I129" s="43">
        <f t="shared" si="16"/>
        <v>45864</v>
      </c>
      <c r="J129" s="48" t="s">
        <v>548</v>
      </c>
      <c r="K129" s="35">
        <v>2019</v>
      </c>
      <c r="L129" s="48" t="s">
        <v>555</v>
      </c>
      <c r="M129" s="48" t="s">
        <v>563</v>
      </c>
      <c r="N129" s="69" t="s">
        <v>484</v>
      </c>
      <c r="O129" s="48" t="s">
        <v>236</v>
      </c>
      <c r="P129" s="34" t="s">
        <v>525</v>
      </c>
      <c r="Q129" s="36" t="s">
        <v>238</v>
      </c>
      <c r="R129" s="104"/>
    </row>
    <row r="130" spans="1:18" ht="25.05" customHeight="1" x14ac:dyDescent="0.4">
      <c r="A130" s="32" t="s">
        <v>816</v>
      </c>
      <c r="B130" s="20" t="s">
        <v>218</v>
      </c>
      <c r="C130" s="48" t="s">
        <v>541</v>
      </c>
      <c r="D130" s="71" t="s">
        <v>687</v>
      </c>
      <c r="E130" s="71" t="s">
        <v>684</v>
      </c>
      <c r="F130" s="43">
        <v>45498</v>
      </c>
      <c r="G130" s="72" t="s">
        <v>429</v>
      </c>
      <c r="H130" s="48">
        <v>12</v>
      </c>
      <c r="I130" s="43">
        <f t="shared" si="16"/>
        <v>45863</v>
      </c>
      <c r="J130" s="48" t="s">
        <v>549</v>
      </c>
      <c r="K130" s="35">
        <v>2019</v>
      </c>
      <c r="L130" s="48" t="s">
        <v>556</v>
      </c>
      <c r="M130" s="48" t="s">
        <v>564</v>
      </c>
      <c r="N130" s="69" t="s">
        <v>484</v>
      </c>
      <c r="O130" s="48" t="s">
        <v>236</v>
      </c>
      <c r="P130" s="34" t="s">
        <v>525</v>
      </c>
      <c r="Q130" s="36" t="s">
        <v>238</v>
      </c>
      <c r="R130" s="114"/>
    </row>
    <row r="131" spans="1:18" ht="25.05" customHeight="1" x14ac:dyDescent="0.4">
      <c r="A131" s="115" t="s">
        <v>817</v>
      </c>
      <c r="B131" s="20" t="s">
        <v>218</v>
      </c>
      <c r="C131" s="48" t="s">
        <v>393</v>
      </c>
      <c r="D131" s="71" t="s">
        <v>687</v>
      </c>
      <c r="E131" s="71" t="s">
        <v>684</v>
      </c>
      <c r="F131" s="43">
        <v>45496</v>
      </c>
      <c r="G131" s="72" t="s">
        <v>429</v>
      </c>
      <c r="H131" s="48">
        <v>12</v>
      </c>
      <c r="I131" s="43">
        <f t="shared" si="16"/>
        <v>45861</v>
      </c>
      <c r="J131" s="48" t="s">
        <v>456</v>
      </c>
      <c r="K131" s="35">
        <v>2019</v>
      </c>
      <c r="L131" s="48" t="s">
        <v>531</v>
      </c>
      <c r="M131" s="48">
        <v>100726</v>
      </c>
      <c r="N131" s="69" t="s">
        <v>537</v>
      </c>
      <c r="O131" s="48" t="s">
        <v>485</v>
      </c>
      <c r="P131" s="34" t="s">
        <v>525</v>
      </c>
      <c r="Q131" s="36" t="s">
        <v>238</v>
      </c>
      <c r="R131" s="114"/>
    </row>
    <row r="132" spans="1:18" ht="25.05" customHeight="1" x14ac:dyDescent="0.4">
      <c r="A132" s="32" t="s">
        <v>818</v>
      </c>
      <c r="B132" s="20" t="s">
        <v>218</v>
      </c>
      <c r="C132" s="48" t="s">
        <v>542</v>
      </c>
      <c r="D132" s="71" t="s">
        <v>687</v>
      </c>
      <c r="E132" s="71" t="s">
        <v>684</v>
      </c>
      <c r="F132" s="42">
        <v>45497</v>
      </c>
      <c r="G132" s="72" t="s">
        <v>429</v>
      </c>
      <c r="H132" s="48">
        <v>12</v>
      </c>
      <c r="I132" s="43">
        <f t="shared" si="16"/>
        <v>45862</v>
      </c>
      <c r="J132" s="48" t="s">
        <v>550</v>
      </c>
      <c r="K132" s="35">
        <v>2019</v>
      </c>
      <c r="L132" s="48" t="s">
        <v>557</v>
      </c>
      <c r="M132" s="48">
        <v>180030500</v>
      </c>
      <c r="N132" s="69" t="s">
        <v>484</v>
      </c>
      <c r="O132" s="48" t="s">
        <v>651</v>
      </c>
      <c r="P132" s="34" t="s">
        <v>525</v>
      </c>
      <c r="Q132" s="36" t="s">
        <v>238</v>
      </c>
      <c r="R132" s="104"/>
    </row>
    <row r="133" spans="1:18" ht="25.05" customHeight="1" x14ac:dyDescent="0.4">
      <c r="A133" s="32" t="s">
        <v>819</v>
      </c>
      <c r="B133" s="20" t="s">
        <v>218</v>
      </c>
      <c r="C133" s="70" t="s">
        <v>543</v>
      </c>
      <c r="D133" s="71" t="s">
        <v>687</v>
      </c>
      <c r="E133" s="71" t="s">
        <v>684</v>
      </c>
      <c r="F133" s="42">
        <v>45496</v>
      </c>
      <c r="G133" s="75" t="s">
        <v>429</v>
      </c>
      <c r="H133" s="70">
        <v>12</v>
      </c>
      <c r="I133" s="43">
        <f t="shared" si="16"/>
        <v>45861</v>
      </c>
      <c r="J133" s="48" t="s">
        <v>551</v>
      </c>
      <c r="K133" s="35">
        <v>2019</v>
      </c>
      <c r="L133" s="48">
        <v>1335</v>
      </c>
      <c r="M133" s="70" t="s">
        <v>565</v>
      </c>
      <c r="N133" s="69" t="s">
        <v>484</v>
      </c>
      <c r="O133" s="48" t="s">
        <v>424</v>
      </c>
      <c r="P133" s="34" t="s">
        <v>525</v>
      </c>
      <c r="Q133" s="36" t="s">
        <v>238</v>
      </c>
      <c r="R133" s="104"/>
    </row>
    <row r="134" spans="1:18" ht="25.05" customHeight="1" x14ac:dyDescent="0.4">
      <c r="A134" s="32" t="s">
        <v>820</v>
      </c>
      <c r="B134" s="20" t="s">
        <v>218</v>
      </c>
      <c r="C134" s="48" t="s">
        <v>544</v>
      </c>
      <c r="D134" s="71" t="s">
        <v>687</v>
      </c>
      <c r="E134" s="71" t="s">
        <v>684</v>
      </c>
      <c r="F134" s="42">
        <v>45498</v>
      </c>
      <c r="G134" s="72" t="s">
        <v>429</v>
      </c>
      <c r="H134" s="48">
        <v>12</v>
      </c>
      <c r="I134" s="43">
        <f t="shared" si="16"/>
        <v>45863</v>
      </c>
      <c r="J134" s="48" t="s">
        <v>501</v>
      </c>
      <c r="K134" s="35">
        <v>2019</v>
      </c>
      <c r="L134" s="48" t="s">
        <v>558</v>
      </c>
      <c r="M134" s="79" t="s">
        <v>566</v>
      </c>
      <c r="N134" s="69" t="s">
        <v>484</v>
      </c>
      <c r="O134" s="48" t="s">
        <v>424</v>
      </c>
      <c r="P134" s="34" t="s">
        <v>525</v>
      </c>
      <c r="Q134" s="36" t="s">
        <v>238</v>
      </c>
      <c r="R134" s="104"/>
    </row>
    <row r="135" spans="1:18" ht="25.05" customHeight="1" x14ac:dyDescent="0.4">
      <c r="A135" s="32" t="s">
        <v>821</v>
      </c>
      <c r="B135" s="20" t="s">
        <v>218</v>
      </c>
      <c r="C135" s="48" t="s">
        <v>544</v>
      </c>
      <c r="D135" s="71" t="s">
        <v>687</v>
      </c>
      <c r="E135" s="71" t="s">
        <v>684</v>
      </c>
      <c r="F135" s="42">
        <v>45498</v>
      </c>
      <c r="G135" s="72" t="s">
        <v>429</v>
      </c>
      <c r="H135" s="48">
        <v>12</v>
      </c>
      <c r="I135" s="43">
        <f t="shared" si="16"/>
        <v>45863</v>
      </c>
      <c r="J135" s="48" t="s">
        <v>501</v>
      </c>
      <c r="K135" s="35">
        <v>2019</v>
      </c>
      <c r="L135" s="48" t="s">
        <v>558</v>
      </c>
      <c r="M135" s="80" t="s">
        <v>567</v>
      </c>
      <c r="N135" s="69" t="s">
        <v>484</v>
      </c>
      <c r="O135" s="48" t="s">
        <v>424</v>
      </c>
      <c r="P135" s="34" t="s">
        <v>525</v>
      </c>
      <c r="Q135" s="36" t="s">
        <v>238</v>
      </c>
      <c r="R135" s="104"/>
    </row>
    <row r="136" spans="1:18" ht="25.05" customHeight="1" x14ac:dyDescent="0.4">
      <c r="A136" s="32" t="s">
        <v>822</v>
      </c>
      <c r="B136" s="20" t="s">
        <v>218</v>
      </c>
      <c r="C136" s="48" t="s">
        <v>544</v>
      </c>
      <c r="D136" s="71" t="s">
        <v>687</v>
      </c>
      <c r="E136" s="71" t="s">
        <v>684</v>
      </c>
      <c r="F136" s="42">
        <v>45498</v>
      </c>
      <c r="G136" s="72" t="s">
        <v>429</v>
      </c>
      <c r="H136" s="48">
        <v>12</v>
      </c>
      <c r="I136" s="43">
        <f t="shared" si="16"/>
        <v>45863</v>
      </c>
      <c r="J136" s="48" t="s">
        <v>501</v>
      </c>
      <c r="K136" s="35">
        <v>2019</v>
      </c>
      <c r="L136" s="48" t="s">
        <v>558</v>
      </c>
      <c r="M136" s="80" t="s">
        <v>568</v>
      </c>
      <c r="N136" s="69" t="s">
        <v>484</v>
      </c>
      <c r="O136" s="48" t="s">
        <v>424</v>
      </c>
      <c r="P136" s="34" t="s">
        <v>525</v>
      </c>
      <c r="Q136" s="36" t="s">
        <v>238</v>
      </c>
      <c r="R136" s="104"/>
    </row>
    <row r="137" spans="1:18" ht="25.05" customHeight="1" x14ac:dyDescent="0.4">
      <c r="A137" s="32" t="s">
        <v>823</v>
      </c>
      <c r="B137" s="20" t="s">
        <v>218</v>
      </c>
      <c r="C137" s="70" t="s">
        <v>545</v>
      </c>
      <c r="D137" s="53" t="s">
        <v>687</v>
      </c>
      <c r="E137" s="53" t="s">
        <v>234</v>
      </c>
      <c r="F137" s="43" t="s">
        <v>218</v>
      </c>
      <c r="G137" s="43" t="s">
        <v>218</v>
      </c>
      <c r="H137" s="43" t="s">
        <v>218</v>
      </c>
      <c r="I137" s="43" t="s">
        <v>218</v>
      </c>
      <c r="J137" s="48" t="s">
        <v>501</v>
      </c>
      <c r="K137" s="35">
        <v>2019</v>
      </c>
      <c r="L137" s="48" t="s">
        <v>559</v>
      </c>
      <c r="M137" s="80" t="s">
        <v>569</v>
      </c>
      <c r="N137" s="69" t="s">
        <v>572</v>
      </c>
      <c r="O137" s="48" t="s">
        <v>424</v>
      </c>
      <c r="P137" s="34" t="s">
        <v>524</v>
      </c>
      <c r="Q137" s="36" t="s">
        <v>238</v>
      </c>
      <c r="R137" s="104"/>
    </row>
    <row r="138" spans="1:18" ht="25.05" customHeight="1" x14ac:dyDescent="0.4">
      <c r="A138" s="32" t="s">
        <v>824</v>
      </c>
      <c r="B138" s="20" t="s">
        <v>218</v>
      </c>
      <c r="C138" s="48" t="s">
        <v>546</v>
      </c>
      <c r="D138" s="53" t="s">
        <v>687</v>
      </c>
      <c r="E138" s="53" t="s">
        <v>234</v>
      </c>
      <c r="F138" s="43" t="s">
        <v>218</v>
      </c>
      <c r="G138" s="43" t="s">
        <v>218</v>
      </c>
      <c r="H138" s="43" t="s">
        <v>218</v>
      </c>
      <c r="I138" s="43" t="s">
        <v>218</v>
      </c>
      <c r="J138" s="48" t="s">
        <v>501</v>
      </c>
      <c r="K138" s="35">
        <v>2019</v>
      </c>
      <c r="L138" s="48" t="s">
        <v>560</v>
      </c>
      <c r="M138" s="80" t="s">
        <v>570</v>
      </c>
      <c r="N138" s="69" t="s">
        <v>573</v>
      </c>
      <c r="O138" s="48" t="s">
        <v>424</v>
      </c>
      <c r="P138" s="34" t="s">
        <v>240</v>
      </c>
      <c r="Q138" s="36" t="s">
        <v>238</v>
      </c>
      <c r="R138" s="104"/>
    </row>
    <row r="139" spans="1:18" ht="25.05" customHeight="1" x14ac:dyDescent="0.4">
      <c r="A139" s="32" t="s">
        <v>825</v>
      </c>
      <c r="B139" s="20" t="s">
        <v>218</v>
      </c>
      <c r="C139" s="48" t="s">
        <v>547</v>
      </c>
      <c r="D139" s="71" t="s">
        <v>687</v>
      </c>
      <c r="E139" s="71" t="s">
        <v>684</v>
      </c>
      <c r="F139" s="42">
        <v>45496</v>
      </c>
      <c r="G139" s="72" t="s">
        <v>429</v>
      </c>
      <c r="H139" s="48">
        <v>12</v>
      </c>
      <c r="I139" s="43">
        <f t="shared" si="16"/>
        <v>45861</v>
      </c>
      <c r="J139" s="48" t="s">
        <v>552</v>
      </c>
      <c r="K139" s="82">
        <v>2020</v>
      </c>
      <c r="L139" s="48" t="s">
        <v>561</v>
      </c>
      <c r="M139" s="48" t="s">
        <v>218</v>
      </c>
      <c r="N139" s="69" t="s">
        <v>484</v>
      </c>
      <c r="O139" s="67" t="s">
        <v>574</v>
      </c>
      <c r="P139" s="87" t="s">
        <v>577</v>
      </c>
      <c r="Q139" s="84" t="s">
        <v>576</v>
      </c>
      <c r="R139" s="104"/>
    </row>
    <row r="140" spans="1:18" ht="25.05" customHeight="1" x14ac:dyDescent="0.4">
      <c r="A140" s="32" t="s">
        <v>826</v>
      </c>
      <c r="B140" s="20" t="s">
        <v>218</v>
      </c>
      <c r="C140" s="48" t="s">
        <v>547</v>
      </c>
      <c r="D140" s="71" t="s">
        <v>687</v>
      </c>
      <c r="E140" s="71" t="s">
        <v>684</v>
      </c>
      <c r="F140" s="42">
        <v>45496</v>
      </c>
      <c r="G140" s="72" t="s">
        <v>429</v>
      </c>
      <c r="H140" s="48">
        <v>12</v>
      </c>
      <c r="I140" s="43">
        <f t="shared" si="16"/>
        <v>45861</v>
      </c>
      <c r="J140" s="48" t="s">
        <v>553</v>
      </c>
      <c r="K140" s="82">
        <v>2020</v>
      </c>
      <c r="L140" s="48" t="s">
        <v>562</v>
      </c>
      <c r="M140" s="48" t="s">
        <v>218</v>
      </c>
      <c r="N140" s="69" t="s">
        <v>484</v>
      </c>
      <c r="O140" s="67" t="s">
        <v>485</v>
      </c>
      <c r="P140" s="87" t="s">
        <v>577</v>
      </c>
      <c r="Q140" s="84" t="s">
        <v>238</v>
      </c>
      <c r="R140" s="104"/>
    </row>
    <row r="141" spans="1:18" ht="25.05" customHeight="1" x14ac:dyDescent="0.4">
      <c r="A141" s="32" t="s">
        <v>827</v>
      </c>
      <c r="B141" s="20" t="s">
        <v>218</v>
      </c>
      <c r="C141" s="48" t="s">
        <v>547</v>
      </c>
      <c r="D141" s="71" t="s">
        <v>687</v>
      </c>
      <c r="E141" s="71" t="s">
        <v>684</v>
      </c>
      <c r="F141" s="42">
        <v>45496</v>
      </c>
      <c r="G141" s="72" t="s">
        <v>429</v>
      </c>
      <c r="H141" s="48">
        <v>12</v>
      </c>
      <c r="I141" s="43">
        <f t="shared" si="16"/>
        <v>45861</v>
      </c>
      <c r="J141" s="48" t="s">
        <v>553</v>
      </c>
      <c r="K141" s="82">
        <v>2020</v>
      </c>
      <c r="L141" s="48" t="s">
        <v>562</v>
      </c>
      <c r="M141" s="48" t="s">
        <v>218</v>
      </c>
      <c r="N141" s="69" t="s">
        <v>484</v>
      </c>
      <c r="O141" s="67" t="s">
        <v>485</v>
      </c>
      <c r="P141" s="87" t="s">
        <v>577</v>
      </c>
      <c r="Q141" s="84" t="s">
        <v>238</v>
      </c>
      <c r="R141" s="104"/>
    </row>
    <row r="142" spans="1:18" ht="25.05" customHeight="1" x14ac:dyDescent="0.4">
      <c r="A142" s="32" t="s">
        <v>828</v>
      </c>
      <c r="B142" s="83" t="s">
        <v>218</v>
      </c>
      <c r="C142" s="52" t="s">
        <v>593</v>
      </c>
      <c r="D142" s="95" t="s">
        <v>687</v>
      </c>
      <c r="E142" s="95" t="s">
        <v>684</v>
      </c>
      <c r="F142" s="42">
        <v>45497</v>
      </c>
      <c r="G142" s="55" t="s">
        <v>1</v>
      </c>
      <c r="H142" s="50">
        <v>12</v>
      </c>
      <c r="I142" s="43">
        <f t="shared" ref="I142:I145" si="17">DATE(YEAR(F142)+1,MONTH(F142),DAY(F142))</f>
        <v>45862</v>
      </c>
      <c r="J142" s="50" t="s">
        <v>10</v>
      </c>
      <c r="K142" s="83">
        <v>2020</v>
      </c>
      <c r="L142" s="50" t="s">
        <v>11</v>
      </c>
      <c r="M142" s="50" t="s">
        <v>571</v>
      </c>
      <c r="N142" s="50" t="s">
        <v>389</v>
      </c>
      <c r="O142" s="48" t="s">
        <v>485</v>
      </c>
      <c r="P142" s="86" t="s">
        <v>239</v>
      </c>
      <c r="Q142" s="85" t="s">
        <v>238</v>
      </c>
      <c r="R142" s="104"/>
    </row>
    <row r="143" spans="1:18" ht="25.05" customHeight="1" x14ac:dyDescent="0.4">
      <c r="A143" s="32" t="s">
        <v>829</v>
      </c>
      <c r="B143" s="20" t="s">
        <v>218</v>
      </c>
      <c r="C143" s="48" t="s">
        <v>578</v>
      </c>
      <c r="D143" s="53" t="s">
        <v>687</v>
      </c>
      <c r="E143" s="53" t="s">
        <v>684</v>
      </c>
      <c r="F143" s="42">
        <v>45498</v>
      </c>
      <c r="G143" s="55" t="s">
        <v>1</v>
      </c>
      <c r="H143" s="50">
        <v>12</v>
      </c>
      <c r="I143" s="43">
        <f t="shared" si="17"/>
        <v>45863</v>
      </c>
      <c r="J143" s="48" t="s">
        <v>581</v>
      </c>
      <c r="K143" s="83">
        <v>2020</v>
      </c>
      <c r="L143" s="48" t="s">
        <v>582</v>
      </c>
      <c r="M143" s="48">
        <v>58671</v>
      </c>
      <c r="N143" s="69"/>
      <c r="O143" s="67" t="s">
        <v>574</v>
      </c>
      <c r="P143" s="87" t="s">
        <v>239</v>
      </c>
      <c r="Q143" s="84" t="s">
        <v>238</v>
      </c>
      <c r="R143" s="104"/>
    </row>
    <row r="144" spans="1:18" ht="25.05" customHeight="1" x14ac:dyDescent="0.4">
      <c r="A144" s="32" t="s">
        <v>830</v>
      </c>
      <c r="B144" s="20" t="s">
        <v>218</v>
      </c>
      <c r="C144" s="50" t="s">
        <v>579</v>
      </c>
      <c r="D144" s="53" t="s">
        <v>687</v>
      </c>
      <c r="E144" s="53" t="s">
        <v>684</v>
      </c>
      <c r="F144" s="42">
        <v>45498</v>
      </c>
      <c r="G144" s="55" t="s">
        <v>1</v>
      </c>
      <c r="H144" s="50">
        <v>12</v>
      </c>
      <c r="I144" s="43">
        <f t="shared" si="17"/>
        <v>45863</v>
      </c>
      <c r="J144" s="50" t="s">
        <v>501</v>
      </c>
      <c r="K144" s="83">
        <v>2020</v>
      </c>
      <c r="L144" s="50" t="s">
        <v>583</v>
      </c>
      <c r="M144" s="50" t="s">
        <v>585</v>
      </c>
      <c r="N144" s="69"/>
      <c r="O144" s="67" t="s">
        <v>574</v>
      </c>
      <c r="P144" s="87" t="s">
        <v>239</v>
      </c>
      <c r="Q144" s="84" t="s">
        <v>238</v>
      </c>
      <c r="R144" s="104"/>
    </row>
    <row r="145" spans="1:18" ht="25.05" customHeight="1" x14ac:dyDescent="0.4">
      <c r="A145" s="32" t="s">
        <v>831</v>
      </c>
      <c r="B145" s="20" t="s">
        <v>218</v>
      </c>
      <c r="C145" s="50" t="s">
        <v>580</v>
      </c>
      <c r="D145" s="53" t="s">
        <v>687</v>
      </c>
      <c r="E145" s="53" t="s">
        <v>684</v>
      </c>
      <c r="F145" s="42">
        <v>45498</v>
      </c>
      <c r="G145" s="55" t="s">
        <v>1</v>
      </c>
      <c r="H145" s="50">
        <v>12</v>
      </c>
      <c r="I145" s="43">
        <f t="shared" si="17"/>
        <v>45863</v>
      </c>
      <c r="J145" s="50" t="s">
        <v>456</v>
      </c>
      <c r="K145" s="83">
        <v>2020</v>
      </c>
      <c r="L145" s="88" t="s">
        <v>584</v>
      </c>
      <c r="M145" s="50">
        <v>101358</v>
      </c>
      <c r="N145" s="69"/>
      <c r="O145" s="67" t="s">
        <v>574</v>
      </c>
      <c r="P145" s="87" t="s">
        <v>239</v>
      </c>
      <c r="Q145" s="84" t="s">
        <v>238</v>
      </c>
      <c r="R145" s="104"/>
    </row>
    <row r="146" spans="1:18" ht="25.05" customHeight="1" x14ac:dyDescent="0.4">
      <c r="A146" s="32" t="s">
        <v>832</v>
      </c>
      <c r="B146" s="20" t="s">
        <v>218</v>
      </c>
      <c r="C146" s="48" t="s">
        <v>586</v>
      </c>
      <c r="D146" s="71" t="s">
        <v>687</v>
      </c>
      <c r="E146" s="71" t="s">
        <v>234</v>
      </c>
      <c r="F146" s="43" t="s">
        <v>218</v>
      </c>
      <c r="G146" s="43" t="s">
        <v>218</v>
      </c>
      <c r="H146" s="43" t="s">
        <v>218</v>
      </c>
      <c r="I146" s="43" t="s">
        <v>218</v>
      </c>
      <c r="J146" s="48" t="s">
        <v>587</v>
      </c>
      <c r="K146" s="82">
        <v>2019</v>
      </c>
      <c r="L146" s="48" t="s">
        <v>218</v>
      </c>
      <c r="M146" s="48" t="s">
        <v>218</v>
      </c>
      <c r="N146" s="69"/>
      <c r="O146" s="48" t="s">
        <v>485</v>
      </c>
      <c r="P146" s="86" t="s">
        <v>240</v>
      </c>
      <c r="Q146" s="85" t="s">
        <v>238</v>
      </c>
      <c r="R146" s="104"/>
    </row>
    <row r="147" spans="1:18" ht="25.05" customHeight="1" x14ac:dyDescent="0.4">
      <c r="A147" s="32" t="s">
        <v>833</v>
      </c>
      <c r="B147" s="20" t="s">
        <v>218</v>
      </c>
      <c r="C147" s="48" t="s">
        <v>588</v>
      </c>
      <c r="D147" s="71" t="s">
        <v>687</v>
      </c>
      <c r="E147" s="71" t="s">
        <v>234</v>
      </c>
      <c r="F147" s="43" t="s">
        <v>218</v>
      </c>
      <c r="G147" s="43" t="s">
        <v>218</v>
      </c>
      <c r="H147" s="43" t="s">
        <v>218</v>
      </c>
      <c r="I147" s="43" t="s">
        <v>218</v>
      </c>
      <c r="J147" s="48" t="s">
        <v>587</v>
      </c>
      <c r="K147" s="82">
        <v>2019</v>
      </c>
      <c r="L147" s="48" t="s">
        <v>218</v>
      </c>
      <c r="M147" s="48" t="s">
        <v>218</v>
      </c>
      <c r="N147" s="69"/>
      <c r="O147" s="48" t="s">
        <v>485</v>
      </c>
      <c r="P147" s="86" t="s">
        <v>240</v>
      </c>
      <c r="Q147" s="85" t="s">
        <v>238</v>
      </c>
      <c r="R147" s="104"/>
    </row>
    <row r="148" spans="1:18" ht="25.05" customHeight="1" x14ac:dyDescent="0.4">
      <c r="A148" s="32" t="s">
        <v>834</v>
      </c>
      <c r="B148" s="20" t="s">
        <v>218</v>
      </c>
      <c r="C148" s="48" t="s">
        <v>588</v>
      </c>
      <c r="D148" s="71" t="s">
        <v>687</v>
      </c>
      <c r="E148" s="71" t="s">
        <v>234</v>
      </c>
      <c r="F148" s="43" t="s">
        <v>218</v>
      </c>
      <c r="G148" s="43" t="s">
        <v>218</v>
      </c>
      <c r="H148" s="43" t="s">
        <v>218</v>
      </c>
      <c r="I148" s="43" t="s">
        <v>218</v>
      </c>
      <c r="J148" s="48" t="s">
        <v>587</v>
      </c>
      <c r="K148" s="82">
        <v>2019</v>
      </c>
      <c r="L148" s="48" t="s">
        <v>218</v>
      </c>
      <c r="M148" s="48" t="s">
        <v>218</v>
      </c>
      <c r="N148" s="69"/>
      <c r="O148" s="48" t="s">
        <v>485</v>
      </c>
      <c r="P148" s="86" t="s">
        <v>240</v>
      </c>
      <c r="Q148" s="85" t="s">
        <v>238</v>
      </c>
      <c r="R148" s="104"/>
    </row>
    <row r="149" spans="1:18" ht="25.05" customHeight="1" x14ac:dyDescent="0.4">
      <c r="A149" s="32" t="s">
        <v>835</v>
      </c>
      <c r="B149" s="20" t="s">
        <v>218</v>
      </c>
      <c r="C149" s="50" t="s">
        <v>589</v>
      </c>
      <c r="D149" s="71" t="s">
        <v>687</v>
      </c>
      <c r="E149" s="71" t="s">
        <v>234</v>
      </c>
      <c r="F149" s="43" t="s">
        <v>218</v>
      </c>
      <c r="G149" s="43" t="s">
        <v>218</v>
      </c>
      <c r="H149" s="43" t="s">
        <v>218</v>
      </c>
      <c r="I149" s="43" t="s">
        <v>218</v>
      </c>
      <c r="J149" s="48" t="s">
        <v>587</v>
      </c>
      <c r="K149" s="82">
        <v>2019</v>
      </c>
      <c r="L149" s="50" t="s">
        <v>590</v>
      </c>
      <c r="M149" s="57" t="s">
        <v>591</v>
      </c>
      <c r="N149" s="50"/>
      <c r="O149" s="48" t="s">
        <v>485</v>
      </c>
      <c r="P149" s="86" t="s">
        <v>240</v>
      </c>
      <c r="Q149" s="85" t="s">
        <v>238</v>
      </c>
      <c r="R149" s="104"/>
    </row>
    <row r="150" spans="1:18" ht="25.05" customHeight="1" x14ac:dyDescent="0.4">
      <c r="A150" s="32" t="s">
        <v>836</v>
      </c>
      <c r="B150" s="20" t="s">
        <v>218</v>
      </c>
      <c r="C150" s="50" t="s">
        <v>594</v>
      </c>
      <c r="D150" s="53" t="s">
        <v>687</v>
      </c>
      <c r="E150" s="53" t="s">
        <v>684</v>
      </c>
      <c r="F150" s="43">
        <v>45497</v>
      </c>
      <c r="G150" s="55" t="s">
        <v>1</v>
      </c>
      <c r="H150" s="50">
        <v>12</v>
      </c>
      <c r="I150" s="43">
        <f t="shared" ref="I150:I159" si="18">DATE(YEAR(F150)+1,MONTH(F150),DAY(F150))</f>
        <v>45862</v>
      </c>
      <c r="J150" s="50" t="s">
        <v>595</v>
      </c>
      <c r="K150" s="20">
        <v>2021</v>
      </c>
      <c r="L150" s="50" t="s">
        <v>596</v>
      </c>
      <c r="M150" s="50" t="s">
        <v>597</v>
      </c>
      <c r="N150" s="50"/>
      <c r="O150" s="48" t="s">
        <v>237</v>
      </c>
      <c r="P150" s="21" t="s">
        <v>240</v>
      </c>
      <c r="Q150" s="33" t="s">
        <v>238</v>
      </c>
      <c r="R150" s="104"/>
    </row>
    <row r="151" spans="1:18" ht="25.05" customHeight="1" x14ac:dyDescent="0.4">
      <c r="A151" s="32" t="s">
        <v>837</v>
      </c>
      <c r="B151" s="20" t="s">
        <v>218</v>
      </c>
      <c r="C151" s="50" t="s">
        <v>598</v>
      </c>
      <c r="D151" s="81" t="s">
        <v>687</v>
      </c>
      <c r="E151" s="81" t="s">
        <v>234</v>
      </c>
      <c r="F151" s="42" t="s">
        <v>599</v>
      </c>
      <c r="G151" s="55" t="s">
        <v>218</v>
      </c>
      <c r="H151" s="50" t="s">
        <v>218</v>
      </c>
      <c r="I151" s="43" t="s">
        <v>599</v>
      </c>
      <c r="J151" s="50" t="s">
        <v>595</v>
      </c>
      <c r="K151" s="83">
        <v>2021</v>
      </c>
      <c r="L151" s="50" t="s">
        <v>605</v>
      </c>
      <c r="M151" s="50" t="s">
        <v>600</v>
      </c>
      <c r="N151" s="69"/>
      <c r="O151" s="67" t="s">
        <v>237</v>
      </c>
      <c r="P151" s="87" t="s">
        <v>240</v>
      </c>
      <c r="Q151" s="84" t="s">
        <v>238</v>
      </c>
      <c r="R151" s="104"/>
    </row>
    <row r="152" spans="1:18" ht="25.05" customHeight="1" x14ac:dyDescent="0.4">
      <c r="A152" s="32" t="s">
        <v>838</v>
      </c>
      <c r="B152" s="20" t="s">
        <v>218</v>
      </c>
      <c r="C152" s="50" t="s">
        <v>601</v>
      </c>
      <c r="D152" s="53" t="s">
        <v>687</v>
      </c>
      <c r="E152" s="53" t="s">
        <v>684</v>
      </c>
      <c r="F152" s="42">
        <v>45496</v>
      </c>
      <c r="G152" s="55" t="s">
        <v>1</v>
      </c>
      <c r="H152" s="50">
        <v>12</v>
      </c>
      <c r="I152" s="43">
        <f t="shared" si="18"/>
        <v>45861</v>
      </c>
      <c r="J152" s="50" t="s">
        <v>602</v>
      </c>
      <c r="K152" s="83">
        <v>2021</v>
      </c>
      <c r="L152" s="88" t="s">
        <v>603</v>
      </c>
      <c r="M152" s="50">
        <v>580305</v>
      </c>
      <c r="N152" s="69"/>
      <c r="O152" s="67" t="s">
        <v>237</v>
      </c>
      <c r="P152" s="87" t="s">
        <v>240</v>
      </c>
      <c r="Q152" s="84" t="s">
        <v>238</v>
      </c>
      <c r="R152" s="104"/>
    </row>
    <row r="153" spans="1:18" ht="25.05" customHeight="1" x14ac:dyDescent="0.4">
      <c r="A153" s="32" t="s">
        <v>839</v>
      </c>
      <c r="B153" s="20" t="s">
        <v>218</v>
      </c>
      <c r="C153" s="48" t="s">
        <v>601</v>
      </c>
      <c r="D153" s="71" t="s">
        <v>687</v>
      </c>
      <c r="E153" s="71" t="s">
        <v>684</v>
      </c>
      <c r="F153" s="42">
        <v>45496</v>
      </c>
      <c r="G153" s="43" t="s">
        <v>429</v>
      </c>
      <c r="H153" s="50">
        <v>12</v>
      </c>
      <c r="I153" s="43">
        <f t="shared" si="18"/>
        <v>45861</v>
      </c>
      <c r="J153" s="48" t="s">
        <v>602</v>
      </c>
      <c r="K153" s="82">
        <v>2021</v>
      </c>
      <c r="L153" s="48" t="s">
        <v>603</v>
      </c>
      <c r="M153" s="48">
        <v>580461</v>
      </c>
      <c r="N153" s="69"/>
      <c r="O153" s="48" t="s">
        <v>237</v>
      </c>
      <c r="P153" s="86" t="s">
        <v>240</v>
      </c>
      <c r="Q153" s="85" t="s">
        <v>238</v>
      </c>
      <c r="R153" s="104"/>
    </row>
    <row r="154" spans="1:18" ht="25.05" customHeight="1" x14ac:dyDescent="0.4">
      <c r="A154" s="32" t="s">
        <v>840</v>
      </c>
      <c r="B154" s="20" t="s">
        <v>218</v>
      </c>
      <c r="C154" s="48" t="s">
        <v>604</v>
      </c>
      <c r="D154" s="71" t="s">
        <v>687</v>
      </c>
      <c r="E154" s="71" t="s">
        <v>234</v>
      </c>
      <c r="F154" s="43" t="s">
        <v>218</v>
      </c>
      <c r="G154" s="43" t="s">
        <v>218</v>
      </c>
      <c r="H154" s="43" t="s">
        <v>218</v>
      </c>
      <c r="I154" s="43" t="s">
        <v>218</v>
      </c>
      <c r="J154" s="48" t="s">
        <v>595</v>
      </c>
      <c r="K154" s="82">
        <v>2021</v>
      </c>
      <c r="L154" s="48" t="s">
        <v>606</v>
      </c>
      <c r="M154" s="48" t="s">
        <v>607</v>
      </c>
      <c r="N154" s="69"/>
      <c r="O154" s="48" t="s">
        <v>237</v>
      </c>
      <c r="P154" s="86" t="s">
        <v>240</v>
      </c>
      <c r="Q154" s="85" t="s">
        <v>238</v>
      </c>
      <c r="R154" s="104"/>
    </row>
    <row r="155" spans="1:18" ht="25.05" customHeight="1" x14ac:dyDescent="0.4">
      <c r="A155" s="32" t="s">
        <v>841</v>
      </c>
      <c r="B155" s="20" t="s">
        <v>218</v>
      </c>
      <c r="C155" s="48" t="s">
        <v>608</v>
      </c>
      <c r="D155" s="71" t="s">
        <v>687</v>
      </c>
      <c r="E155" s="71" t="s">
        <v>684</v>
      </c>
      <c r="F155" s="43">
        <v>45498</v>
      </c>
      <c r="G155" s="43" t="s">
        <v>429</v>
      </c>
      <c r="H155" s="50">
        <v>12</v>
      </c>
      <c r="I155" s="43">
        <f t="shared" si="18"/>
        <v>45863</v>
      </c>
      <c r="J155" s="48" t="s">
        <v>609</v>
      </c>
      <c r="K155" s="82">
        <v>2021</v>
      </c>
      <c r="L155" s="48" t="s">
        <v>608</v>
      </c>
      <c r="M155" s="48">
        <v>174</v>
      </c>
      <c r="N155" s="69"/>
      <c r="O155" s="48" t="s">
        <v>485</v>
      </c>
      <c r="P155" s="86" t="s">
        <v>240</v>
      </c>
      <c r="Q155" s="85" t="s">
        <v>238</v>
      </c>
      <c r="R155" s="104"/>
    </row>
    <row r="156" spans="1:18" ht="25.05" customHeight="1" x14ac:dyDescent="0.4">
      <c r="A156" s="32" t="s">
        <v>842</v>
      </c>
      <c r="B156" s="20" t="s">
        <v>218</v>
      </c>
      <c r="C156" s="50" t="s">
        <v>610</v>
      </c>
      <c r="D156" s="71" t="s">
        <v>687</v>
      </c>
      <c r="E156" s="71" t="s">
        <v>684</v>
      </c>
      <c r="F156" s="43">
        <v>45498</v>
      </c>
      <c r="G156" s="43" t="s">
        <v>429</v>
      </c>
      <c r="H156" s="50">
        <v>12</v>
      </c>
      <c r="I156" s="43">
        <f t="shared" si="18"/>
        <v>45863</v>
      </c>
      <c r="J156" s="48" t="s">
        <v>609</v>
      </c>
      <c r="K156" s="82">
        <v>2021</v>
      </c>
      <c r="L156" s="48" t="s">
        <v>610</v>
      </c>
      <c r="M156" s="48">
        <v>174</v>
      </c>
      <c r="N156" s="50"/>
      <c r="O156" s="48" t="s">
        <v>485</v>
      </c>
      <c r="P156" s="86" t="s">
        <v>240</v>
      </c>
      <c r="Q156" s="85" t="s">
        <v>238</v>
      </c>
      <c r="R156" s="104"/>
    </row>
    <row r="157" spans="1:18" ht="25.05" customHeight="1" x14ac:dyDescent="0.4">
      <c r="A157" s="32" t="s">
        <v>843</v>
      </c>
      <c r="B157" s="20" t="s">
        <v>218</v>
      </c>
      <c r="C157" s="50" t="s">
        <v>611</v>
      </c>
      <c r="D157" s="71" t="s">
        <v>687</v>
      </c>
      <c r="E157" s="71" t="s">
        <v>234</v>
      </c>
      <c r="F157" s="43" t="s">
        <v>218</v>
      </c>
      <c r="G157" s="43" t="s">
        <v>218</v>
      </c>
      <c r="H157" s="43" t="s">
        <v>218</v>
      </c>
      <c r="I157" s="43" t="s">
        <v>218</v>
      </c>
      <c r="J157" s="50" t="s">
        <v>612</v>
      </c>
      <c r="K157" s="82">
        <v>2021</v>
      </c>
      <c r="L157" s="88" t="s">
        <v>613</v>
      </c>
      <c r="M157" s="50" t="s">
        <v>614</v>
      </c>
      <c r="N157" s="69"/>
      <c r="O157" s="48" t="s">
        <v>237</v>
      </c>
      <c r="P157" s="86" t="s">
        <v>240</v>
      </c>
      <c r="Q157" s="85" t="s">
        <v>238</v>
      </c>
      <c r="R157" s="104"/>
    </row>
    <row r="158" spans="1:18" ht="25.05" customHeight="1" x14ac:dyDescent="0.4">
      <c r="A158" s="90" t="s">
        <v>844</v>
      </c>
      <c r="B158" s="35" t="s">
        <v>218</v>
      </c>
      <c r="C158" s="92" t="s">
        <v>611</v>
      </c>
      <c r="D158" s="71" t="s">
        <v>687</v>
      </c>
      <c r="E158" s="71" t="s">
        <v>234</v>
      </c>
      <c r="F158" s="43" t="s">
        <v>218</v>
      </c>
      <c r="G158" s="43" t="s">
        <v>218</v>
      </c>
      <c r="H158" s="43" t="s">
        <v>218</v>
      </c>
      <c r="I158" s="43" t="s">
        <v>218</v>
      </c>
      <c r="J158" s="92" t="s">
        <v>612</v>
      </c>
      <c r="K158" s="82">
        <v>2021</v>
      </c>
      <c r="L158" s="93" t="s">
        <v>613</v>
      </c>
      <c r="M158" s="92" t="s">
        <v>615</v>
      </c>
      <c r="N158" s="92"/>
      <c r="O158" s="91" t="s">
        <v>237</v>
      </c>
      <c r="P158" s="87" t="s">
        <v>240</v>
      </c>
      <c r="Q158" s="84" t="s">
        <v>238</v>
      </c>
      <c r="R158" s="104"/>
    </row>
    <row r="159" spans="1:18" ht="25.05" customHeight="1" x14ac:dyDescent="0.4">
      <c r="A159" s="94" t="s">
        <v>845</v>
      </c>
      <c r="B159" s="20" t="s">
        <v>616</v>
      </c>
      <c r="C159" s="50" t="s">
        <v>617</v>
      </c>
      <c r="D159" s="71" t="s">
        <v>687</v>
      </c>
      <c r="E159" s="71" t="s">
        <v>684</v>
      </c>
      <c r="F159" s="43">
        <v>45498</v>
      </c>
      <c r="G159" s="43" t="s">
        <v>618</v>
      </c>
      <c r="H159" s="50">
        <v>12</v>
      </c>
      <c r="I159" s="43">
        <f t="shared" si="18"/>
        <v>45863</v>
      </c>
      <c r="J159" s="50" t="s">
        <v>581</v>
      </c>
      <c r="K159" s="83">
        <v>2021</v>
      </c>
      <c r="L159" s="88" t="s">
        <v>617</v>
      </c>
      <c r="M159" s="50">
        <v>60335</v>
      </c>
      <c r="N159" s="50"/>
      <c r="O159" s="48" t="s">
        <v>619</v>
      </c>
      <c r="P159" s="86" t="s">
        <v>620</v>
      </c>
      <c r="Q159" s="86" t="s">
        <v>621</v>
      </c>
      <c r="R159" s="104"/>
    </row>
    <row r="160" spans="1:18" ht="25.05" customHeight="1" x14ac:dyDescent="0.4">
      <c r="A160" s="94" t="s">
        <v>846</v>
      </c>
      <c r="B160" s="20" t="s">
        <v>218</v>
      </c>
      <c r="C160" s="50" t="s">
        <v>622</v>
      </c>
      <c r="D160" s="71" t="s">
        <v>687</v>
      </c>
      <c r="E160" s="71" t="s">
        <v>234</v>
      </c>
      <c r="F160" s="43" t="s">
        <v>218</v>
      </c>
      <c r="G160" s="43" t="s">
        <v>218</v>
      </c>
      <c r="H160" s="50" t="s">
        <v>218</v>
      </c>
      <c r="I160" s="43" t="s">
        <v>218</v>
      </c>
      <c r="J160" s="50" t="s">
        <v>623</v>
      </c>
      <c r="K160" s="20">
        <v>2021</v>
      </c>
      <c r="L160" s="88" t="s">
        <v>635</v>
      </c>
      <c r="M160" s="97" t="s">
        <v>648</v>
      </c>
      <c r="N160" s="50"/>
      <c r="O160" s="48" t="s">
        <v>237</v>
      </c>
      <c r="P160" s="21" t="s">
        <v>240</v>
      </c>
      <c r="Q160" s="21" t="s">
        <v>238</v>
      </c>
      <c r="R160" s="104"/>
    </row>
    <row r="161" spans="1:18" ht="25.05" customHeight="1" x14ac:dyDescent="0.4">
      <c r="A161" s="94" t="s">
        <v>847</v>
      </c>
      <c r="B161" s="20" t="s">
        <v>218</v>
      </c>
      <c r="C161" s="50" t="s">
        <v>625</v>
      </c>
      <c r="D161" s="71" t="s">
        <v>687</v>
      </c>
      <c r="E161" s="71" t="s">
        <v>684</v>
      </c>
      <c r="F161" s="43">
        <v>45498</v>
      </c>
      <c r="G161" s="43" t="s">
        <v>429</v>
      </c>
      <c r="H161" s="50">
        <v>12</v>
      </c>
      <c r="I161" s="43">
        <f t="shared" ref="I161" si="19">DATE(YEAR(F161)+1,MONTH(F161),DAY(F161))</f>
        <v>45863</v>
      </c>
      <c r="J161" s="50" t="s">
        <v>624</v>
      </c>
      <c r="K161" s="83">
        <v>2021</v>
      </c>
      <c r="L161" s="88" t="s">
        <v>636</v>
      </c>
      <c r="M161" s="50" t="s">
        <v>642</v>
      </c>
      <c r="N161" s="50"/>
      <c r="O161" s="48" t="s">
        <v>237</v>
      </c>
      <c r="P161" s="86" t="s">
        <v>239</v>
      </c>
      <c r="Q161" s="86" t="s">
        <v>238</v>
      </c>
      <c r="R161" s="104"/>
    </row>
    <row r="162" spans="1:18" ht="25.05" customHeight="1" x14ac:dyDescent="0.4">
      <c r="A162" s="94" t="s">
        <v>848</v>
      </c>
      <c r="B162" s="20" t="s">
        <v>218</v>
      </c>
      <c r="C162" s="50" t="s">
        <v>626</v>
      </c>
      <c r="D162" s="71" t="s">
        <v>687</v>
      </c>
      <c r="E162" s="71" t="s">
        <v>234</v>
      </c>
      <c r="F162" s="43" t="s">
        <v>632</v>
      </c>
      <c r="G162" s="43" t="s">
        <v>632</v>
      </c>
      <c r="H162" s="50" t="s">
        <v>632</v>
      </c>
      <c r="I162" s="43" t="s">
        <v>632</v>
      </c>
      <c r="J162" s="50" t="s">
        <v>634</v>
      </c>
      <c r="K162" s="83">
        <v>2021</v>
      </c>
      <c r="L162" s="88" t="s">
        <v>637</v>
      </c>
      <c r="M162" s="50">
        <v>2113623</v>
      </c>
      <c r="N162" s="50"/>
      <c r="O162" s="48" t="s">
        <v>237</v>
      </c>
      <c r="P162" s="86" t="s">
        <v>239</v>
      </c>
      <c r="Q162" s="86" t="s">
        <v>238</v>
      </c>
      <c r="R162" s="104"/>
    </row>
    <row r="163" spans="1:18" ht="25.05" customHeight="1" x14ac:dyDescent="0.4">
      <c r="A163" s="94" t="s">
        <v>849</v>
      </c>
      <c r="B163" s="20" t="s">
        <v>218</v>
      </c>
      <c r="C163" s="50" t="s">
        <v>627</v>
      </c>
      <c r="D163" s="71" t="s">
        <v>687</v>
      </c>
      <c r="E163" s="71" t="s">
        <v>234</v>
      </c>
      <c r="F163" s="43" t="s">
        <v>632</v>
      </c>
      <c r="G163" s="43" t="s">
        <v>632</v>
      </c>
      <c r="H163" s="50" t="s">
        <v>632</v>
      </c>
      <c r="I163" s="43" t="s">
        <v>632</v>
      </c>
      <c r="J163" s="50" t="s">
        <v>649</v>
      </c>
      <c r="K163" s="83">
        <v>2021</v>
      </c>
      <c r="L163" s="88" t="s">
        <v>627</v>
      </c>
      <c r="M163" s="96" t="s">
        <v>643</v>
      </c>
      <c r="N163" s="50"/>
      <c r="O163" s="48" t="s">
        <v>237</v>
      </c>
      <c r="P163" s="86" t="s">
        <v>239</v>
      </c>
      <c r="Q163" s="86" t="s">
        <v>238</v>
      </c>
      <c r="R163" s="104"/>
    </row>
    <row r="164" spans="1:18" ht="25.05" customHeight="1" x14ac:dyDescent="0.4">
      <c r="A164" s="94" t="s">
        <v>850</v>
      </c>
      <c r="B164" s="20" t="s">
        <v>218</v>
      </c>
      <c r="C164" s="50" t="s">
        <v>628</v>
      </c>
      <c r="D164" s="71" t="s">
        <v>687</v>
      </c>
      <c r="E164" s="71" t="s">
        <v>684</v>
      </c>
      <c r="F164" s="43">
        <v>45132</v>
      </c>
      <c r="G164" s="43" t="s">
        <v>633</v>
      </c>
      <c r="H164" s="50">
        <v>24</v>
      </c>
      <c r="I164" s="43">
        <f>DATE(YEAR(F164)+2,MONTH(F164),DAY(F164))</f>
        <v>45863</v>
      </c>
      <c r="J164" s="50" t="s">
        <v>649</v>
      </c>
      <c r="K164" s="83">
        <v>2021</v>
      </c>
      <c r="L164" s="88" t="s">
        <v>638</v>
      </c>
      <c r="M164" s="50" t="s">
        <v>644</v>
      </c>
      <c r="N164" s="50"/>
      <c r="O164" s="48" t="s">
        <v>237</v>
      </c>
      <c r="P164" s="86" t="s">
        <v>239</v>
      </c>
      <c r="Q164" s="86" t="s">
        <v>238</v>
      </c>
      <c r="R164" s="104"/>
    </row>
    <row r="165" spans="1:18" ht="25.05" customHeight="1" x14ac:dyDescent="0.4">
      <c r="A165" s="94" t="s">
        <v>851</v>
      </c>
      <c r="B165" s="20" t="s">
        <v>218</v>
      </c>
      <c r="C165" s="50" t="s">
        <v>629</v>
      </c>
      <c r="D165" s="71" t="s">
        <v>687</v>
      </c>
      <c r="E165" s="71" t="s">
        <v>234</v>
      </c>
      <c r="F165" s="43" t="s">
        <v>632</v>
      </c>
      <c r="G165" s="43" t="s">
        <v>632</v>
      </c>
      <c r="H165" s="50" t="s">
        <v>632</v>
      </c>
      <c r="I165" s="43" t="s">
        <v>632</v>
      </c>
      <c r="J165" s="50" t="s">
        <v>649</v>
      </c>
      <c r="K165" s="83">
        <v>2021</v>
      </c>
      <c r="L165" s="88" t="s">
        <v>640</v>
      </c>
      <c r="M165" s="96" t="s">
        <v>645</v>
      </c>
      <c r="N165" s="50"/>
      <c r="O165" s="48" t="s">
        <v>237</v>
      </c>
      <c r="P165" s="86" t="s">
        <v>239</v>
      </c>
      <c r="Q165" s="86" t="s">
        <v>238</v>
      </c>
      <c r="R165" s="104"/>
    </row>
    <row r="166" spans="1:18" ht="25.05" customHeight="1" x14ac:dyDescent="0.4">
      <c r="A166" s="94" t="s">
        <v>852</v>
      </c>
      <c r="B166" s="20" t="s">
        <v>218</v>
      </c>
      <c r="C166" s="50" t="s">
        <v>630</v>
      </c>
      <c r="D166" s="71" t="s">
        <v>687</v>
      </c>
      <c r="E166" s="71" t="s">
        <v>684</v>
      </c>
      <c r="F166" s="43">
        <v>45134</v>
      </c>
      <c r="G166" s="43" t="s">
        <v>633</v>
      </c>
      <c r="H166" s="50">
        <v>24</v>
      </c>
      <c r="I166" s="43">
        <f>DATE(YEAR(F166)+2,MONTH(F166),DAY(F166))</f>
        <v>45865</v>
      </c>
      <c r="J166" s="50" t="s">
        <v>649</v>
      </c>
      <c r="K166" s="83">
        <v>2021</v>
      </c>
      <c r="L166" s="88" t="s">
        <v>639</v>
      </c>
      <c r="M166" s="96" t="s">
        <v>646</v>
      </c>
      <c r="N166" s="50"/>
      <c r="O166" s="48" t="s">
        <v>237</v>
      </c>
      <c r="P166" s="86" t="s">
        <v>239</v>
      </c>
      <c r="Q166" s="86" t="s">
        <v>238</v>
      </c>
      <c r="R166" s="104"/>
    </row>
    <row r="167" spans="1:18" ht="25.05" customHeight="1" x14ac:dyDescent="0.4">
      <c r="A167" s="94" t="s">
        <v>853</v>
      </c>
      <c r="B167" s="20" t="s">
        <v>218</v>
      </c>
      <c r="C167" s="50" t="s">
        <v>631</v>
      </c>
      <c r="D167" s="71" t="s">
        <v>687</v>
      </c>
      <c r="E167" s="71" t="s">
        <v>234</v>
      </c>
      <c r="F167" s="43" t="s">
        <v>218</v>
      </c>
      <c r="G167" s="43" t="s">
        <v>218</v>
      </c>
      <c r="H167" s="50" t="s">
        <v>218</v>
      </c>
      <c r="I167" s="43" t="s">
        <v>218</v>
      </c>
      <c r="J167" s="50" t="s">
        <v>609</v>
      </c>
      <c r="K167" s="83">
        <v>2021</v>
      </c>
      <c r="L167" s="88" t="s">
        <v>641</v>
      </c>
      <c r="M167" s="96" t="s">
        <v>647</v>
      </c>
      <c r="N167" s="50"/>
      <c r="O167" s="48" t="s">
        <v>237</v>
      </c>
      <c r="P167" s="86" t="s">
        <v>239</v>
      </c>
      <c r="Q167" s="86" t="s">
        <v>238</v>
      </c>
      <c r="R167" s="104"/>
    </row>
    <row r="168" spans="1:18" ht="25.05" customHeight="1" x14ac:dyDescent="0.4">
      <c r="A168" s="94" t="s">
        <v>854</v>
      </c>
      <c r="B168" s="20" t="s">
        <v>218</v>
      </c>
      <c r="C168" s="50" t="s">
        <v>650</v>
      </c>
      <c r="D168" s="71" t="s">
        <v>687</v>
      </c>
      <c r="E168" s="71" t="s">
        <v>234</v>
      </c>
      <c r="F168" s="43" t="s">
        <v>218</v>
      </c>
      <c r="G168" s="43" t="s">
        <v>218</v>
      </c>
      <c r="H168" s="50" t="s">
        <v>218</v>
      </c>
      <c r="I168" s="43" t="s">
        <v>218</v>
      </c>
      <c r="J168" s="50" t="s">
        <v>609</v>
      </c>
      <c r="K168" s="20">
        <v>2021</v>
      </c>
      <c r="L168" s="88">
        <v>177</v>
      </c>
      <c r="M168" s="96">
        <v>57020213</v>
      </c>
      <c r="N168" s="50"/>
      <c r="O168" s="48" t="s">
        <v>237</v>
      </c>
      <c r="P168" s="21" t="s">
        <v>240</v>
      </c>
      <c r="Q168" s="21" t="s">
        <v>238</v>
      </c>
      <c r="R168" s="114"/>
    </row>
    <row r="169" spans="1:18" ht="19.95" customHeight="1" x14ac:dyDescent="0.4">
      <c r="A169" s="94" t="s">
        <v>855</v>
      </c>
      <c r="B169" s="20" t="s">
        <v>218</v>
      </c>
      <c r="C169" s="50" t="s">
        <v>654</v>
      </c>
      <c r="D169" s="71" t="s">
        <v>687</v>
      </c>
      <c r="E169" s="71" t="s">
        <v>684</v>
      </c>
      <c r="F169" s="43">
        <v>45496</v>
      </c>
      <c r="G169" s="43" t="s">
        <v>429</v>
      </c>
      <c r="H169" s="50">
        <v>12</v>
      </c>
      <c r="I169" s="43">
        <f t="shared" ref="I169:I171" si="20">DATE(YEAR(F169)+1,MONTH(F169),DAY(F169))</f>
        <v>45861</v>
      </c>
      <c r="J169" s="50" t="s">
        <v>659</v>
      </c>
      <c r="K169" s="83">
        <v>2022</v>
      </c>
      <c r="L169" s="88" t="s">
        <v>657</v>
      </c>
      <c r="M169" s="96" t="s">
        <v>656</v>
      </c>
      <c r="N169" s="50"/>
      <c r="O169" s="48" t="s">
        <v>237</v>
      </c>
      <c r="P169" s="86" t="s">
        <v>240</v>
      </c>
      <c r="Q169" s="86" t="s">
        <v>238</v>
      </c>
      <c r="R169" s="104"/>
    </row>
    <row r="170" spans="1:18" ht="19.95" customHeight="1" x14ac:dyDescent="0.4">
      <c r="A170" s="94" t="s">
        <v>856</v>
      </c>
      <c r="B170" s="20" t="s">
        <v>218</v>
      </c>
      <c r="C170" s="50" t="s">
        <v>655</v>
      </c>
      <c r="D170" s="71" t="s">
        <v>687</v>
      </c>
      <c r="E170" s="71" t="s">
        <v>684</v>
      </c>
      <c r="F170" s="43">
        <v>45496</v>
      </c>
      <c r="G170" s="43" t="s">
        <v>429</v>
      </c>
      <c r="H170" s="50">
        <v>12</v>
      </c>
      <c r="I170" s="43">
        <f t="shared" si="20"/>
        <v>45861</v>
      </c>
      <c r="J170" s="50" t="s">
        <v>660</v>
      </c>
      <c r="K170" s="83">
        <v>2022</v>
      </c>
      <c r="L170" s="88" t="s">
        <v>658</v>
      </c>
      <c r="M170" s="96">
        <v>1547</v>
      </c>
      <c r="N170" s="50"/>
      <c r="O170" s="48" t="s">
        <v>237</v>
      </c>
      <c r="P170" s="86" t="s">
        <v>240</v>
      </c>
      <c r="Q170" s="86" t="s">
        <v>238</v>
      </c>
      <c r="R170" s="104"/>
    </row>
    <row r="171" spans="1:18" ht="20.25" customHeight="1" x14ac:dyDescent="0.4">
      <c r="A171" s="98" t="s">
        <v>857</v>
      </c>
      <c r="B171" s="99" t="s">
        <v>662</v>
      </c>
      <c r="C171" s="100" t="s">
        <v>663</v>
      </c>
      <c r="D171" s="39" t="s">
        <v>687</v>
      </c>
      <c r="E171" s="39" t="s">
        <v>664</v>
      </c>
      <c r="F171" s="54">
        <v>45497</v>
      </c>
      <c r="G171" s="101" t="s">
        <v>665</v>
      </c>
      <c r="H171" s="100">
        <v>12</v>
      </c>
      <c r="I171" s="101">
        <f t="shared" si="20"/>
        <v>45862</v>
      </c>
      <c r="J171" s="100" t="s">
        <v>666</v>
      </c>
      <c r="K171" s="99">
        <v>2023</v>
      </c>
      <c r="L171" s="100" t="s">
        <v>667</v>
      </c>
      <c r="M171" s="100" t="s">
        <v>668</v>
      </c>
      <c r="N171" s="102" t="s">
        <v>671</v>
      </c>
      <c r="O171" s="103" t="s">
        <v>669</v>
      </c>
      <c r="P171" s="103" t="s">
        <v>672</v>
      </c>
      <c r="Q171" s="103" t="s">
        <v>670</v>
      </c>
      <c r="R171" s="104"/>
    </row>
    <row r="172" spans="1:18" ht="20.25" customHeight="1" x14ac:dyDescent="0.4">
      <c r="A172" s="23" t="s">
        <v>217</v>
      </c>
      <c r="R172" s="104"/>
    </row>
  </sheetData>
  <autoFilter ref="A2:Q172" xr:uid="{15967C50-D503-4AF6-875E-97F02992E424}"/>
  <phoneticPr fontId="9" type="noConversion"/>
  <printOptions horizontalCentered="1"/>
  <pageMargins left="0.25" right="0.25" top="0.75" bottom="0.75" header="0.3" footer="0.3"/>
  <pageSetup scale="41" fitToWidth="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topLeftCell="A4" workbookViewId="0">
      <selection activeCell="H30" sqref="H30:J35"/>
    </sheetView>
  </sheetViews>
  <sheetFormatPr defaultRowHeight="17.399999999999999" x14ac:dyDescent="0.4"/>
  <cols>
    <col min="1" max="1" width="4.69921875" customWidth="1"/>
    <col min="2" max="2" width="30.296875" customWidth="1"/>
    <col min="3" max="3" width="25.69921875" customWidth="1"/>
    <col min="4" max="4" width="19.59765625" customWidth="1"/>
    <col min="5" max="5" width="16.59765625" customWidth="1"/>
    <col min="6" max="6" width="15.19921875" bestFit="1" customWidth="1"/>
    <col min="7" max="7" width="7.19921875" customWidth="1"/>
    <col min="8" max="8" width="12.19921875" customWidth="1"/>
    <col min="9" max="9" width="9.69921875" style="10" customWidth="1"/>
    <col min="10" max="10" width="11.296875" customWidth="1"/>
    <col min="11" max="11" width="40.296875" customWidth="1"/>
    <col min="12" max="12" width="21.59765625" customWidth="1"/>
    <col min="13" max="13" width="9.09765625" customWidth="1"/>
  </cols>
  <sheetData>
    <row r="1" spans="1:12" s="1" customFormat="1" ht="13.8" thickBot="1" x14ac:dyDescent="0.45">
      <c r="A1" s="14" t="s">
        <v>203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187</v>
      </c>
      <c r="H1" s="1" t="s">
        <v>188</v>
      </c>
      <c r="I1" s="8" t="s">
        <v>192</v>
      </c>
      <c r="J1" s="1" t="s">
        <v>189</v>
      </c>
      <c r="K1" s="1" t="s">
        <v>190</v>
      </c>
      <c r="L1" s="1" t="s">
        <v>191</v>
      </c>
    </row>
    <row r="2" spans="1:12" ht="12.3" customHeight="1" x14ac:dyDescent="0.4">
      <c r="A2" s="12">
        <v>1</v>
      </c>
      <c r="B2" s="2" t="s">
        <v>22</v>
      </c>
      <c r="C2" s="2" t="s">
        <v>0</v>
      </c>
      <c r="D2" s="3" t="s">
        <v>33</v>
      </c>
      <c r="E2" s="3" t="s">
        <v>34</v>
      </c>
      <c r="F2" s="2" t="s">
        <v>35</v>
      </c>
      <c r="G2" s="2" t="s">
        <v>1</v>
      </c>
      <c r="H2" s="4">
        <v>42234</v>
      </c>
      <c r="I2" s="2">
        <v>12</v>
      </c>
      <c r="J2" s="4">
        <v>42600</v>
      </c>
      <c r="K2" s="2" t="s">
        <v>23</v>
      </c>
      <c r="L2" s="2" t="s">
        <v>198</v>
      </c>
    </row>
    <row r="3" spans="1:12" ht="12.3" customHeight="1" x14ac:dyDescent="0.4">
      <c r="A3" s="13">
        <v>2</v>
      </c>
      <c r="B3" s="2" t="s">
        <v>32</v>
      </c>
      <c r="C3" s="2" t="s">
        <v>0</v>
      </c>
      <c r="D3" s="3" t="s">
        <v>81</v>
      </c>
      <c r="E3" s="3" t="s">
        <v>82</v>
      </c>
      <c r="F3" s="2" t="s">
        <v>83</v>
      </c>
      <c r="G3" s="2" t="s">
        <v>1</v>
      </c>
      <c r="H3" s="4">
        <v>42234</v>
      </c>
      <c r="I3" s="2">
        <v>12</v>
      </c>
      <c r="J3" s="4">
        <v>42600</v>
      </c>
      <c r="K3" s="2" t="s">
        <v>84</v>
      </c>
      <c r="L3" s="2" t="s">
        <v>198</v>
      </c>
    </row>
    <row r="4" spans="1:12" ht="12.3" customHeight="1" x14ac:dyDescent="0.4">
      <c r="A4" s="13">
        <v>3</v>
      </c>
      <c r="B4" s="2" t="s">
        <v>32</v>
      </c>
      <c r="C4" s="2" t="s">
        <v>0</v>
      </c>
      <c r="D4" s="3" t="s">
        <v>77</v>
      </c>
      <c r="E4" s="3" t="s">
        <v>78</v>
      </c>
      <c r="F4" s="2" t="s">
        <v>79</v>
      </c>
      <c r="G4" s="2" t="s">
        <v>1</v>
      </c>
      <c r="H4" s="4">
        <v>42234</v>
      </c>
      <c r="I4" s="2">
        <v>12</v>
      </c>
      <c r="J4" s="4">
        <v>42600</v>
      </c>
      <c r="K4" s="2" t="s">
        <v>80</v>
      </c>
      <c r="L4" s="2" t="s">
        <v>198</v>
      </c>
    </row>
    <row r="5" spans="1:12" ht="12.3" customHeight="1" x14ac:dyDescent="0.4">
      <c r="A5" s="13">
        <v>4</v>
      </c>
      <c r="B5" s="2" t="s">
        <v>32</v>
      </c>
      <c r="C5" s="2" t="s">
        <v>0</v>
      </c>
      <c r="D5" s="3" t="s">
        <v>124</v>
      </c>
      <c r="E5" s="3" t="s">
        <v>125</v>
      </c>
      <c r="F5" s="2" t="s">
        <v>126</v>
      </c>
      <c r="G5" s="2" t="s">
        <v>1</v>
      </c>
      <c r="H5" s="4">
        <v>42234</v>
      </c>
      <c r="I5" s="2">
        <v>12</v>
      </c>
      <c r="J5" s="4">
        <v>42600</v>
      </c>
      <c r="K5" s="2" t="s">
        <v>127</v>
      </c>
      <c r="L5" s="2" t="s">
        <v>198</v>
      </c>
    </row>
    <row r="6" spans="1:12" ht="26.4" x14ac:dyDescent="0.4">
      <c r="A6" s="13">
        <v>5</v>
      </c>
      <c r="B6" s="2" t="s">
        <v>96</v>
      </c>
      <c r="C6" s="2" t="s">
        <v>97</v>
      </c>
      <c r="D6" s="3" t="s">
        <v>98</v>
      </c>
      <c r="E6" s="6" t="s">
        <v>99</v>
      </c>
      <c r="F6" s="2" t="s">
        <v>100</v>
      </c>
      <c r="G6" s="2" t="s">
        <v>1</v>
      </c>
      <c r="H6" s="4">
        <v>42234</v>
      </c>
      <c r="I6" s="2">
        <v>12</v>
      </c>
      <c r="J6" s="4">
        <v>42600</v>
      </c>
      <c r="K6" s="2" t="s">
        <v>101</v>
      </c>
      <c r="L6" s="2" t="s">
        <v>198</v>
      </c>
    </row>
    <row r="7" spans="1:12" ht="12.3" customHeight="1" x14ac:dyDescent="0.4">
      <c r="A7" s="13">
        <v>6</v>
      </c>
      <c r="B7" s="2" t="s">
        <v>59</v>
      </c>
      <c r="C7" s="2" t="s">
        <v>110</v>
      </c>
      <c r="D7" s="3" t="s">
        <v>142</v>
      </c>
      <c r="E7" s="3" t="s">
        <v>143</v>
      </c>
      <c r="F7" s="2" t="s">
        <v>144</v>
      </c>
      <c r="G7" s="2" t="s">
        <v>1</v>
      </c>
      <c r="H7" s="4">
        <v>42234</v>
      </c>
      <c r="I7" s="2">
        <v>12</v>
      </c>
      <c r="J7" s="4">
        <v>42600</v>
      </c>
      <c r="K7" s="2" t="s">
        <v>145</v>
      </c>
      <c r="L7" s="2" t="s">
        <v>198</v>
      </c>
    </row>
    <row r="8" spans="1:12" ht="12.3" customHeight="1" x14ac:dyDescent="0.4">
      <c r="A8" s="13">
        <v>7</v>
      </c>
      <c r="B8" s="2" t="s">
        <v>59</v>
      </c>
      <c r="C8" s="2" t="s">
        <v>60</v>
      </c>
      <c r="D8" s="3" t="s">
        <v>61</v>
      </c>
      <c r="E8" s="3" t="s">
        <v>62</v>
      </c>
      <c r="F8" s="2" t="s">
        <v>63</v>
      </c>
      <c r="G8" s="2" t="s">
        <v>1</v>
      </c>
      <c r="H8" s="4">
        <v>42234</v>
      </c>
      <c r="I8" s="2">
        <v>12</v>
      </c>
      <c r="J8" s="4">
        <v>42600</v>
      </c>
      <c r="K8" s="2" t="s">
        <v>64</v>
      </c>
      <c r="L8" s="2" t="s">
        <v>198</v>
      </c>
    </row>
    <row r="9" spans="1:12" ht="12.3" customHeight="1" x14ac:dyDescent="0.4">
      <c r="A9" s="13">
        <v>8</v>
      </c>
      <c r="B9" s="2" t="s">
        <v>59</v>
      </c>
      <c r="C9" s="2" t="s">
        <v>110</v>
      </c>
      <c r="D9" s="3" t="s">
        <v>111</v>
      </c>
      <c r="E9" s="3" t="s">
        <v>112</v>
      </c>
      <c r="F9" s="2" t="s">
        <v>113</v>
      </c>
      <c r="G9" s="2" t="s">
        <v>1</v>
      </c>
      <c r="H9" s="4">
        <v>42234</v>
      </c>
      <c r="I9" s="2">
        <v>12</v>
      </c>
      <c r="J9" s="4">
        <v>42600</v>
      </c>
      <c r="K9" s="2" t="s">
        <v>114</v>
      </c>
      <c r="L9" s="2" t="s">
        <v>198</v>
      </c>
    </row>
    <row r="10" spans="1:12" ht="12.3" customHeight="1" x14ac:dyDescent="0.4">
      <c r="A10" s="13">
        <v>9</v>
      </c>
      <c r="B10" s="2" t="s">
        <v>4</v>
      </c>
      <c r="C10" s="2" t="s">
        <v>0</v>
      </c>
      <c r="D10" s="3" t="s">
        <v>55</v>
      </c>
      <c r="E10" s="3" t="s">
        <v>56</v>
      </c>
      <c r="F10" s="2" t="s">
        <v>57</v>
      </c>
      <c r="G10" s="2" t="s">
        <v>1</v>
      </c>
      <c r="H10" s="4">
        <v>42234</v>
      </c>
      <c r="I10" s="2">
        <v>12</v>
      </c>
      <c r="J10" s="4">
        <v>42600</v>
      </c>
      <c r="K10" s="2" t="s">
        <v>58</v>
      </c>
      <c r="L10" s="2" t="s">
        <v>198</v>
      </c>
    </row>
    <row r="11" spans="1:12" ht="12.3" customHeight="1" x14ac:dyDescent="0.4">
      <c r="A11" s="13">
        <v>10</v>
      </c>
      <c r="B11" s="2" t="s">
        <v>4</v>
      </c>
      <c r="C11" s="2" t="s">
        <v>0</v>
      </c>
      <c r="D11" s="3" t="s">
        <v>68</v>
      </c>
      <c r="E11" s="3" t="s">
        <v>69</v>
      </c>
      <c r="F11" s="2" t="s">
        <v>70</v>
      </c>
      <c r="G11" s="2" t="s">
        <v>1</v>
      </c>
      <c r="H11" s="4">
        <v>42234</v>
      </c>
      <c r="I11" s="2">
        <v>12</v>
      </c>
      <c r="J11" s="4">
        <v>42600</v>
      </c>
      <c r="K11" s="2" t="s">
        <v>71</v>
      </c>
      <c r="L11" s="2" t="s">
        <v>198</v>
      </c>
    </row>
    <row r="12" spans="1:12" ht="12.3" customHeight="1" x14ac:dyDescent="0.4">
      <c r="A12" s="13">
        <v>11</v>
      </c>
      <c r="B12" s="2" t="s">
        <v>65</v>
      </c>
      <c r="C12" s="2" t="s">
        <v>66</v>
      </c>
      <c r="D12" s="3" t="s">
        <v>67</v>
      </c>
      <c r="E12" s="3" t="s">
        <v>72</v>
      </c>
      <c r="F12" s="2" t="s">
        <v>73</v>
      </c>
      <c r="G12" s="2" t="s">
        <v>1</v>
      </c>
      <c r="H12" s="4">
        <v>42234</v>
      </c>
      <c r="I12" s="2">
        <v>12</v>
      </c>
      <c r="J12" s="4">
        <v>42600</v>
      </c>
      <c r="K12" s="2" t="s">
        <v>193</v>
      </c>
      <c r="L12" s="2" t="s">
        <v>198</v>
      </c>
    </row>
    <row r="13" spans="1:12" ht="12.3" customHeight="1" x14ac:dyDescent="0.4">
      <c r="A13" s="13">
        <v>12</v>
      </c>
      <c r="B13" s="2" t="s">
        <v>65</v>
      </c>
      <c r="C13" s="2" t="s">
        <v>66</v>
      </c>
      <c r="D13" s="3" t="s">
        <v>67</v>
      </c>
      <c r="E13" s="3" t="s">
        <v>94</v>
      </c>
      <c r="F13" s="2" t="s">
        <v>95</v>
      </c>
      <c r="G13" s="2" t="s">
        <v>1</v>
      </c>
      <c r="H13" s="4">
        <v>42234</v>
      </c>
      <c r="I13" s="2">
        <v>12</v>
      </c>
      <c r="J13" s="4">
        <v>42600</v>
      </c>
      <c r="K13" s="2" t="s">
        <v>193</v>
      </c>
      <c r="L13" s="2" t="s">
        <v>198</v>
      </c>
    </row>
    <row r="14" spans="1:12" ht="12.3" customHeight="1" x14ac:dyDescent="0.4">
      <c r="A14" s="13">
        <v>13</v>
      </c>
      <c r="B14" s="2" t="s">
        <v>85</v>
      </c>
      <c r="C14" s="2" t="s">
        <v>0</v>
      </c>
      <c r="D14" s="3" t="s">
        <v>86</v>
      </c>
      <c r="E14" s="3" t="s">
        <v>140</v>
      </c>
      <c r="F14" s="2" t="s">
        <v>141</v>
      </c>
      <c r="G14" s="2" t="s">
        <v>1</v>
      </c>
      <c r="H14" s="4">
        <v>42234</v>
      </c>
      <c r="I14" s="2">
        <v>12</v>
      </c>
      <c r="J14" s="4">
        <v>42600</v>
      </c>
      <c r="K14" s="2" t="s">
        <v>89</v>
      </c>
      <c r="L14" s="2" t="s">
        <v>198</v>
      </c>
    </row>
    <row r="15" spans="1:12" ht="12.3" customHeight="1" x14ac:dyDescent="0.4">
      <c r="A15" s="13">
        <v>14</v>
      </c>
      <c r="B15" s="2" t="s">
        <v>85</v>
      </c>
      <c r="C15" s="2" t="s">
        <v>0</v>
      </c>
      <c r="D15" s="3" t="s">
        <v>86</v>
      </c>
      <c r="E15" s="3" t="s">
        <v>87</v>
      </c>
      <c r="F15" s="2" t="s">
        <v>88</v>
      </c>
      <c r="G15" s="2" t="s">
        <v>1</v>
      </c>
      <c r="H15" s="4">
        <v>42234</v>
      </c>
      <c r="I15" s="2">
        <v>12</v>
      </c>
      <c r="J15" s="4">
        <v>42600</v>
      </c>
      <c r="K15" s="2" t="s">
        <v>89</v>
      </c>
      <c r="L15" s="2" t="s">
        <v>198</v>
      </c>
    </row>
    <row r="16" spans="1:12" ht="12.3" customHeight="1" x14ac:dyDescent="0.4">
      <c r="A16" s="13">
        <v>15</v>
      </c>
      <c r="B16" s="2" t="s">
        <v>8</v>
      </c>
      <c r="C16" s="2" t="s">
        <v>12</v>
      </c>
      <c r="D16" s="3" t="s">
        <v>43</v>
      </c>
      <c r="E16" s="3" t="s">
        <v>44</v>
      </c>
      <c r="F16" s="2" t="s">
        <v>45</v>
      </c>
      <c r="G16" s="2" t="s">
        <v>12</v>
      </c>
      <c r="H16" s="4">
        <v>42233</v>
      </c>
      <c r="I16" s="2">
        <v>12</v>
      </c>
      <c r="J16" s="4">
        <v>42599</v>
      </c>
      <c r="K16" s="2" t="s">
        <v>46</v>
      </c>
      <c r="L16" s="2" t="s">
        <v>198</v>
      </c>
    </row>
    <row r="17" spans="1:12" ht="12.3" customHeight="1" x14ac:dyDescent="0.4">
      <c r="A17" s="13">
        <v>16</v>
      </c>
      <c r="B17" s="2" t="s">
        <v>8</v>
      </c>
      <c r="C17" s="2" t="s">
        <v>12</v>
      </c>
      <c r="D17" s="3" t="s">
        <v>102</v>
      </c>
      <c r="E17" s="3" t="s">
        <v>103</v>
      </c>
      <c r="F17" s="2" t="s">
        <v>104</v>
      </c>
      <c r="G17" s="2" t="s">
        <v>12</v>
      </c>
      <c r="H17" s="4">
        <v>42277</v>
      </c>
      <c r="I17" s="2">
        <v>12</v>
      </c>
      <c r="J17" s="4">
        <v>42643</v>
      </c>
      <c r="K17" s="2" t="s">
        <v>105</v>
      </c>
      <c r="L17" s="2" t="s">
        <v>198</v>
      </c>
    </row>
    <row r="18" spans="1:12" ht="12.3" customHeight="1" x14ac:dyDescent="0.4">
      <c r="A18" s="13">
        <v>17</v>
      </c>
      <c r="B18" s="2" t="s">
        <v>8</v>
      </c>
      <c r="C18" s="2" t="s">
        <v>12</v>
      </c>
      <c r="D18" s="3" t="s">
        <v>24</v>
      </c>
      <c r="E18" s="3" t="s">
        <v>25</v>
      </c>
      <c r="F18" s="2" t="s">
        <v>26</v>
      </c>
      <c r="G18" s="2" t="s">
        <v>12</v>
      </c>
      <c r="H18" s="4">
        <v>42236</v>
      </c>
      <c r="I18" s="2">
        <v>12</v>
      </c>
      <c r="J18" s="4">
        <v>42602</v>
      </c>
      <c r="K18" s="2" t="s">
        <v>27</v>
      </c>
      <c r="L18" s="2" t="s">
        <v>198</v>
      </c>
    </row>
    <row r="19" spans="1:12" ht="12.3" customHeight="1" x14ac:dyDescent="0.4">
      <c r="A19" s="13">
        <v>18</v>
      </c>
      <c r="B19" s="2" t="s">
        <v>8</v>
      </c>
      <c r="C19" s="2" t="s">
        <v>12</v>
      </c>
      <c r="D19" s="3" t="s">
        <v>120</v>
      </c>
      <c r="E19" s="3" t="s">
        <v>121</v>
      </c>
      <c r="F19" s="2" t="s">
        <v>122</v>
      </c>
      <c r="G19" s="2" t="s">
        <v>12</v>
      </c>
      <c r="H19" s="4">
        <v>42276</v>
      </c>
      <c r="I19" s="2">
        <v>12</v>
      </c>
      <c r="J19" s="4">
        <v>42642</v>
      </c>
      <c r="K19" s="2" t="s">
        <v>123</v>
      </c>
      <c r="L19" s="2" t="s">
        <v>198</v>
      </c>
    </row>
    <row r="20" spans="1:12" ht="12.3" customHeight="1" x14ac:dyDescent="0.4">
      <c r="A20" s="13">
        <v>19</v>
      </c>
      <c r="B20" s="2" t="s">
        <v>8</v>
      </c>
      <c r="C20" s="2" t="s">
        <v>12</v>
      </c>
      <c r="D20" s="3" t="s">
        <v>90</v>
      </c>
      <c r="E20" s="3" t="s">
        <v>91</v>
      </c>
      <c r="F20" s="2" t="s">
        <v>92</v>
      </c>
      <c r="G20" s="2" t="s">
        <v>12</v>
      </c>
      <c r="H20" s="4">
        <v>42276</v>
      </c>
      <c r="I20" s="2">
        <v>12</v>
      </c>
      <c r="J20" s="4">
        <v>42642</v>
      </c>
      <c r="K20" s="2" t="s">
        <v>93</v>
      </c>
      <c r="L20" s="2" t="s">
        <v>198</v>
      </c>
    </row>
    <row r="21" spans="1:12" ht="12.3" customHeight="1" x14ac:dyDescent="0.4">
      <c r="A21" s="13">
        <v>20</v>
      </c>
      <c r="B21" s="2" t="s">
        <v>8</v>
      </c>
      <c r="C21" s="2" t="s">
        <v>12</v>
      </c>
      <c r="D21" s="3" t="s">
        <v>13</v>
      </c>
      <c r="E21" s="3" t="s">
        <v>14</v>
      </c>
      <c r="F21" s="2" t="s">
        <v>15</v>
      </c>
      <c r="G21" s="2" t="s">
        <v>12</v>
      </c>
      <c r="H21" s="4">
        <v>42276</v>
      </c>
      <c r="I21" s="2">
        <v>12</v>
      </c>
      <c r="J21" s="4">
        <v>42642</v>
      </c>
      <c r="K21" s="2" t="s">
        <v>16</v>
      </c>
      <c r="L21" s="2" t="s">
        <v>198</v>
      </c>
    </row>
    <row r="22" spans="1:12" ht="12.3" customHeight="1" x14ac:dyDescent="0.4">
      <c r="A22" s="13">
        <v>21</v>
      </c>
      <c r="B22" s="2" t="s">
        <v>8</v>
      </c>
      <c r="C22" s="2" t="s">
        <v>12</v>
      </c>
      <c r="D22" s="3" t="s">
        <v>115</v>
      </c>
      <c r="E22" s="3" t="s">
        <v>116</v>
      </c>
      <c r="F22" s="2" t="s">
        <v>117</v>
      </c>
      <c r="G22" s="2" t="s">
        <v>12</v>
      </c>
      <c r="H22" s="4">
        <v>42275</v>
      </c>
      <c r="I22" s="2">
        <v>12</v>
      </c>
      <c r="J22" s="4">
        <v>42641</v>
      </c>
      <c r="K22" s="2" t="s">
        <v>50</v>
      </c>
      <c r="L22" s="2" t="s">
        <v>198</v>
      </c>
    </row>
    <row r="23" spans="1:12" ht="12.3" customHeight="1" x14ac:dyDescent="0.4">
      <c r="A23" s="13">
        <v>22</v>
      </c>
      <c r="B23" s="2" t="s">
        <v>8</v>
      </c>
      <c r="C23" s="2" t="s">
        <v>12</v>
      </c>
      <c r="D23" s="3" t="s">
        <v>47</v>
      </c>
      <c r="E23" s="3" t="s">
        <v>48</v>
      </c>
      <c r="F23" s="2" t="s">
        <v>49</v>
      </c>
      <c r="G23" s="2" t="s">
        <v>12</v>
      </c>
      <c r="H23" s="4">
        <v>42242</v>
      </c>
      <c r="I23" s="2">
        <v>12</v>
      </c>
      <c r="J23" s="4">
        <v>42608</v>
      </c>
      <c r="K23" s="2" t="s">
        <v>196</v>
      </c>
      <c r="L23" s="2" t="s">
        <v>198</v>
      </c>
    </row>
    <row r="24" spans="1:12" ht="12.3" customHeight="1" x14ac:dyDescent="0.4">
      <c r="A24" s="13">
        <v>23</v>
      </c>
      <c r="B24" s="2" t="s">
        <v>136</v>
      </c>
      <c r="C24" s="2" t="s">
        <v>0</v>
      </c>
      <c r="D24" s="3" t="s">
        <v>137</v>
      </c>
      <c r="E24" s="3" t="s">
        <v>138</v>
      </c>
      <c r="F24" s="2" t="s">
        <v>139</v>
      </c>
      <c r="G24" s="2" t="s">
        <v>1</v>
      </c>
      <c r="H24" s="4">
        <v>42234</v>
      </c>
      <c r="I24" s="2">
        <v>12</v>
      </c>
      <c r="J24" s="4">
        <v>42600</v>
      </c>
      <c r="K24" s="2" t="s">
        <v>201</v>
      </c>
      <c r="L24" s="2" t="s">
        <v>198</v>
      </c>
    </row>
    <row r="25" spans="1:12" ht="12.3" customHeight="1" x14ac:dyDescent="0.4">
      <c r="A25" s="13">
        <v>24</v>
      </c>
      <c r="B25" s="2" t="s">
        <v>106</v>
      </c>
      <c r="C25" s="2" t="s">
        <v>12</v>
      </c>
      <c r="D25" s="3" t="s">
        <v>107</v>
      </c>
      <c r="E25" s="3" t="s">
        <v>108</v>
      </c>
      <c r="F25" s="2" t="s">
        <v>109</v>
      </c>
      <c r="G25" s="2" t="s">
        <v>12</v>
      </c>
      <c r="H25" s="4">
        <v>42220</v>
      </c>
      <c r="I25" s="2">
        <v>12</v>
      </c>
      <c r="J25" s="4">
        <v>42586</v>
      </c>
      <c r="K25" s="2" t="s">
        <v>200</v>
      </c>
      <c r="L25" s="2" t="s">
        <v>198</v>
      </c>
    </row>
    <row r="26" spans="1:12" ht="12.3" customHeight="1" x14ac:dyDescent="0.4">
      <c r="A26" s="13">
        <v>25</v>
      </c>
      <c r="B26" s="2" t="s">
        <v>17</v>
      </c>
      <c r="C26" s="2" t="s">
        <v>18</v>
      </c>
      <c r="D26" s="3" t="s">
        <v>19</v>
      </c>
      <c r="E26" s="3" t="s">
        <v>20</v>
      </c>
      <c r="F26" s="2" t="s">
        <v>21</v>
      </c>
      <c r="G26" s="2" t="s">
        <v>1</v>
      </c>
      <c r="H26" s="4">
        <v>42235</v>
      </c>
      <c r="I26" s="2">
        <v>12</v>
      </c>
      <c r="J26" s="4">
        <v>42601</v>
      </c>
      <c r="K26" s="2" t="s">
        <v>180</v>
      </c>
      <c r="L26" s="2" t="s">
        <v>198</v>
      </c>
    </row>
    <row r="27" spans="1:12" ht="12.3" customHeight="1" x14ac:dyDescent="0.4">
      <c r="A27" s="13">
        <v>26</v>
      </c>
      <c r="B27" s="2" t="s">
        <v>132</v>
      </c>
      <c r="C27" s="2" t="s">
        <v>2</v>
      </c>
      <c r="D27" s="3" t="s">
        <v>186</v>
      </c>
      <c r="E27" s="3" t="s">
        <v>186</v>
      </c>
      <c r="F27" s="2" t="s">
        <v>3</v>
      </c>
      <c r="G27" s="2" t="s">
        <v>186</v>
      </c>
      <c r="H27" s="7" t="s">
        <v>186</v>
      </c>
      <c r="I27" s="9" t="s">
        <v>186</v>
      </c>
      <c r="J27" s="7" t="s">
        <v>186</v>
      </c>
      <c r="K27" s="15" t="s">
        <v>205</v>
      </c>
      <c r="L27" s="2" t="s">
        <v>198</v>
      </c>
    </row>
    <row r="28" spans="1:12" ht="12.3" customHeight="1" x14ac:dyDescent="0.4">
      <c r="A28" s="13">
        <v>27</v>
      </c>
      <c r="B28" s="2" t="s">
        <v>132</v>
      </c>
      <c r="C28" s="2" t="s">
        <v>2</v>
      </c>
      <c r="D28" s="3" t="s">
        <v>186</v>
      </c>
      <c r="E28" s="3" t="s">
        <v>186</v>
      </c>
      <c r="F28" s="2" t="s">
        <v>74</v>
      </c>
      <c r="G28" s="2" t="s">
        <v>186</v>
      </c>
      <c r="H28" s="7" t="s">
        <v>186</v>
      </c>
      <c r="I28" s="9" t="s">
        <v>186</v>
      </c>
      <c r="J28" s="7" t="s">
        <v>186</v>
      </c>
      <c r="K28" s="2" t="s">
        <v>199</v>
      </c>
      <c r="L28" s="2" t="s">
        <v>198</v>
      </c>
    </row>
    <row r="29" spans="1:12" ht="12.3" customHeight="1" x14ac:dyDescent="0.4">
      <c r="A29" s="13">
        <v>28</v>
      </c>
      <c r="B29" s="2" t="s">
        <v>132</v>
      </c>
      <c r="C29" s="2" t="s">
        <v>2</v>
      </c>
      <c r="D29" s="3" t="s">
        <v>186</v>
      </c>
      <c r="E29" s="3" t="s">
        <v>186</v>
      </c>
      <c r="F29" s="2" t="s">
        <v>133</v>
      </c>
      <c r="G29" s="2" t="s">
        <v>186</v>
      </c>
      <c r="H29" s="7" t="s">
        <v>186</v>
      </c>
      <c r="I29" s="9" t="s">
        <v>186</v>
      </c>
      <c r="J29" s="7" t="s">
        <v>186</v>
      </c>
      <c r="K29" s="2" t="s">
        <v>199</v>
      </c>
      <c r="L29" s="2" t="s">
        <v>198</v>
      </c>
    </row>
    <row r="30" spans="1:12" ht="12.3" customHeight="1" x14ac:dyDescent="0.4">
      <c r="A30" s="13">
        <v>29</v>
      </c>
      <c r="B30" s="2" t="s">
        <v>38</v>
      </c>
      <c r="C30" s="2" t="s">
        <v>12</v>
      </c>
      <c r="D30" s="3" t="s">
        <v>39</v>
      </c>
      <c r="E30" s="3" t="s">
        <v>75</v>
      </c>
      <c r="F30" s="2" t="s">
        <v>76</v>
      </c>
      <c r="G30" s="2" t="s">
        <v>12</v>
      </c>
      <c r="H30" s="4">
        <v>42319</v>
      </c>
      <c r="I30" s="2">
        <v>12</v>
      </c>
      <c r="J30" s="4">
        <v>42685</v>
      </c>
      <c r="K30" s="2" t="s">
        <v>42</v>
      </c>
      <c r="L30" s="2" t="s">
        <v>198</v>
      </c>
    </row>
    <row r="31" spans="1:12" ht="12.3" customHeight="1" x14ac:dyDescent="0.4">
      <c r="A31" s="13">
        <v>30</v>
      </c>
      <c r="B31" s="2" t="s">
        <v>38</v>
      </c>
      <c r="C31" s="2" t="s">
        <v>12</v>
      </c>
      <c r="D31" s="3" t="s">
        <v>39</v>
      </c>
      <c r="E31" s="3" t="s">
        <v>40</v>
      </c>
      <c r="F31" s="2" t="s">
        <v>41</v>
      </c>
      <c r="G31" s="2" t="s">
        <v>12</v>
      </c>
      <c r="H31" s="4">
        <v>42270</v>
      </c>
      <c r="I31" s="2">
        <v>12</v>
      </c>
      <c r="J31" s="4">
        <v>42636</v>
      </c>
      <c r="K31" s="2" t="s">
        <v>42</v>
      </c>
      <c r="L31" s="2" t="s">
        <v>198</v>
      </c>
    </row>
    <row r="32" spans="1:12" x14ac:dyDescent="0.4">
      <c r="A32" s="13">
        <v>31</v>
      </c>
      <c r="B32" s="2" t="s">
        <v>51</v>
      </c>
      <c r="C32" s="2" t="s">
        <v>12</v>
      </c>
      <c r="D32" s="3" t="s">
        <v>52</v>
      </c>
      <c r="E32" s="3" t="s">
        <v>53</v>
      </c>
      <c r="F32" s="2" t="s">
        <v>54</v>
      </c>
      <c r="G32" s="2" t="s">
        <v>12</v>
      </c>
      <c r="H32" s="4">
        <v>42208</v>
      </c>
      <c r="I32" s="2">
        <v>12</v>
      </c>
      <c r="J32" s="4">
        <v>42574</v>
      </c>
      <c r="K32" s="5" t="s">
        <v>206</v>
      </c>
      <c r="L32" s="2" t="s">
        <v>198</v>
      </c>
    </row>
    <row r="33" spans="1:12" x14ac:dyDescent="0.4">
      <c r="A33" s="13">
        <v>32</v>
      </c>
      <c r="B33" s="2" t="s">
        <v>51</v>
      </c>
      <c r="C33" s="2" t="s">
        <v>12</v>
      </c>
      <c r="D33" s="3" t="s">
        <v>52</v>
      </c>
      <c r="E33" s="3" t="s">
        <v>130</v>
      </c>
      <c r="F33" s="2" t="s">
        <v>131</v>
      </c>
      <c r="G33" s="2" t="s">
        <v>12</v>
      </c>
      <c r="H33" s="4">
        <v>42272</v>
      </c>
      <c r="I33" s="2">
        <v>12</v>
      </c>
      <c r="J33" s="4">
        <v>42638</v>
      </c>
      <c r="K33" s="5" t="s">
        <v>206</v>
      </c>
      <c r="L33" s="2" t="s">
        <v>198</v>
      </c>
    </row>
    <row r="34" spans="1:12" ht="12.3" customHeight="1" x14ac:dyDescent="0.4">
      <c r="A34" s="13">
        <v>33</v>
      </c>
      <c r="B34" s="2" t="s">
        <v>9</v>
      </c>
      <c r="C34" s="2" t="s">
        <v>10</v>
      </c>
      <c r="D34" s="3" t="s">
        <v>11</v>
      </c>
      <c r="E34" s="3" t="s">
        <v>134</v>
      </c>
      <c r="F34" s="2" t="s">
        <v>135</v>
      </c>
      <c r="G34" s="2" t="s">
        <v>1</v>
      </c>
      <c r="H34" s="4">
        <v>42235</v>
      </c>
      <c r="I34" s="2">
        <v>12</v>
      </c>
      <c r="J34" s="4">
        <v>42601</v>
      </c>
      <c r="K34" s="2" t="s">
        <v>195</v>
      </c>
      <c r="L34" s="2" t="s">
        <v>198</v>
      </c>
    </row>
    <row r="35" spans="1:12" ht="12.3" customHeight="1" x14ac:dyDescent="0.4">
      <c r="A35" s="13">
        <v>34</v>
      </c>
      <c r="B35" s="2" t="s">
        <v>9</v>
      </c>
      <c r="C35" s="2" t="s">
        <v>10</v>
      </c>
      <c r="D35" s="3" t="s">
        <v>11</v>
      </c>
      <c r="E35" s="3" t="s">
        <v>146</v>
      </c>
      <c r="F35" s="2" t="s">
        <v>147</v>
      </c>
      <c r="G35" s="2" t="s">
        <v>1</v>
      </c>
      <c r="H35" s="4">
        <v>42240</v>
      </c>
      <c r="I35" s="2">
        <v>12</v>
      </c>
      <c r="J35" s="4">
        <v>42606</v>
      </c>
      <c r="K35" s="2" t="s">
        <v>195</v>
      </c>
      <c r="L35" s="2" t="s">
        <v>198</v>
      </c>
    </row>
    <row r="36" spans="1:12" ht="12.3" customHeight="1" x14ac:dyDescent="0.4">
      <c r="A36" s="13">
        <v>35</v>
      </c>
      <c r="B36" s="2" t="s">
        <v>5</v>
      </c>
      <c r="C36" s="2" t="s">
        <v>6</v>
      </c>
      <c r="D36" s="3" t="s">
        <v>7</v>
      </c>
      <c r="E36" s="3" t="s">
        <v>128</v>
      </c>
      <c r="F36" s="2" t="s">
        <v>129</v>
      </c>
      <c r="G36" s="2" t="s">
        <v>1</v>
      </c>
      <c r="H36" s="4">
        <v>42234</v>
      </c>
      <c r="I36" s="2">
        <v>12</v>
      </c>
      <c r="J36" s="4">
        <v>42600</v>
      </c>
      <c r="K36" s="2" t="s">
        <v>194</v>
      </c>
      <c r="L36" s="2" t="s">
        <v>198</v>
      </c>
    </row>
    <row r="37" spans="1:12" ht="12.3" customHeight="1" x14ac:dyDescent="0.4">
      <c r="A37" s="13">
        <v>36</v>
      </c>
      <c r="B37" s="2" t="s">
        <v>5</v>
      </c>
      <c r="C37" s="2" t="s">
        <v>6</v>
      </c>
      <c r="D37" s="3" t="s">
        <v>7</v>
      </c>
      <c r="E37" s="3" t="s">
        <v>36</v>
      </c>
      <c r="F37" s="2" t="s">
        <v>37</v>
      </c>
      <c r="G37" s="2" t="s">
        <v>1</v>
      </c>
      <c r="H37" s="4">
        <v>42234</v>
      </c>
      <c r="I37" s="2">
        <v>12</v>
      </c>
      <c r="J37" s="4">
        <v>42600</v>
      </c>
      <c r="K37" s="2" t="s">
        <v>194</v>
      </c>
      <c r="L37" s="2" t="s">
        <v>198</v>
      </c>
    </row>
    <row r="38" spans="1:12" ht="12.3" customHeight="1" x14ac:dyDescent="0.4">
      <c r="A38" s="13">
        <v>37</v>
      </c>
      <c r="B38" s="2" t="s">
        <v>28</v>
      </c>
      <c r="C38" s="2" t="s">
        <v>12</v>
      </c>
      <c r="D38" s="3" t="s">
        <v>29</v>
      </c>
      <c r="E38" s="3" t="s">
        <v>30</v>
      </c>
      <c r="F38" s="2" t="s">
        <v>31</v>
      </c>
      <c r="G38" s="2" t="s">
        <v>186</v>
      </c>
      <c r="H38" s="7" t="s">
        <v>186</v>
      </c>
      <c r="I38" s="7" t="s">
        <v>186</v>
      </c>
      <c r="J38" s="7" t="s">
        <v>186</v>
      </c>
      <c r="K38" s="2"/>
      <c r="L38" s="2" t="s">
        <v>198</v>
      </c>
    </row>
    <row r="39" spans="1:12" ht="12.3" customHeight="1" x14ac:dyDescent="0.4">
      <c r="A39" s="13">
        <v>38</v>
      </c>
      <c r="B39" s="2" t="s">
        <v>28</v>
      </c>
      <c r="C39" s="2" t="s">
        <v>12</v>
      </c>
      <c r="D39" s="3" t="s">
        <v>29</v>
      </c>
      <c r="E39" s="3" t="s">
        <v>118</v>
      </c>
      <c r="F39" s="2" t="s">
        <v>119</v>
      </c>
      <c r="G39" s="2" t="s">
        <v>186</v>
      </c>
      <c r="H39" s="7" t="s">
        <v>186</v>
      </c>
      <c r="I39" s="7" t="s">
        <v>186</v>
      </c>
      <c r="J39" s="7" t="s">
        <v>186</v>
      </c>
      <c r="K39" s="2"/>
      <c r="L39" s="2" t="s">
        <v>198</v>
      </c>
    </row>
    <row r="40" spans="1:12" ht="12.3" customHeight="1" x14ac:dyDescent="0.4">
      <c r="A40" s="13">
        <v>39</v>
      </c>
      <c r="B40" s="2" t="s">
        <v>8</v>
      </c>
      <c r="C40" s="2" t="s">
        <v>12</v>
      </c>
      <c r="D40" s="3" t="s">
        <v>102</v>
      </c>
      <c r="E40" s="3" t="s">
        <v>148</v>
      </c>
      <c r="F40" s="2" t="s">
        <v>149</v>
      </c>
      <c r="G40" s="2" t="s">
        <v>12</v>
      </c>
      <c r="H40" s="4">
        <v>42264</v>
      </c>
      <c r="I40" s="2">
        <v>12</v>
      </c>
      <c r="J40" s="4">
        <v>42630</v>
      </c>
      <c r="K40" s="2" t="s">
        <v>105</v>
      </c>
      <c r="L40" s="2" t="s">
        <v>198</v>
      </c>
    </row>
    <row r="41" spans="1:12" ht="12.3" customHeight="1" x14ac:dyDescent="0.4">
      <c r="A41" s="13">
        <v>40</v>
      </c>
      <c r="B41" s="2" t="s">
        <v>8</v>
      </c>
      <c r="C41" s="2" t="s">
        <v>12</v>
      </c>
      <c r="D41" s="3" t="s">
        <v>150</v>
      </c>
      <c r="E41" s="3" t="s">
        <v>151</v>
      </c>
      <c r="F41" s="2" t="s">
        <v>152</v>
      </c>
      <c r="G41" s="2" t="s">
        <v>12</v>
      </c>
      <c r="H41" s="4">
        <v>42013</v>
      </c>
      <c r="I41" s="2">
        <v>12</v>
      </c>
      <c r="J41" s="4">
        <v>42378</v>
      </c>
      <c r="K41" s="2" t="s">
        <v>153</v>
      </c>
      <c r="L41" s="2" t="s">
        <v>198</v>
      </c>
    </row>
    <row r="42" spans="1:12" ht="12.3" customHeight="1" x14ac:dyDescent="0.4">
      <c r="A42" s="13">
        <v>41</v>
      </c>
      <c r="B42" s="2" t="s">
        <v>8</v>
      </c>
      <c r="C42" s="2" t="s">
        <v>12</v>
      </c>
      <c r="D42" s="3" t="s">
        <v>120</v>
      </c>
      <c r="E42" s="3" t="s">
        <v>154</v>
      </c>
      <c r="F42" s="2" t="s">
        <v>155</v>
      </c>
      <c r="G42" s="2" t="s">
        <v>12</v>
      </c>
      <c r="H42" s="4">
        <v>42041</v>
      </c>
      <c r="I42" s="2">
        <v>12</v>
      </c>
      <c r="J42" s="4">
        <v>42406</v>
      </c>
      <c r="K42" s="2" t="s">
        <v>123</v>
      </c>
      <c r="L42" s="2" t="s">
        <v>198</v>
      </c>
    </row>
    <row r="43" spans="1:12" ht="12.3" customHeight="1" x14ac:dyDescent="0.4">
      <c r="A43" s="13">
        <v>42</v>
      </c>
      <c r="B43" s="2" t="s">
        <v>8</v>
      </c>
      <c r="C43" s="2" t="s">
        <v>12</v>
      </c>
      <c r="D43" s="3" t="s">
        <v>115</v>
      </c>
      <c r="E43" s="3" t="s">
        <v>156</v>
      </c>
      <c r="F43" s="2" t="s">
        <v>157</v>
      </c>
      <c r="G43" s="2" t="s">
        <v>12</v>
      </c>
      <c r="H43" s="4">
        <v>42040</v>
      </c>
      <c r="I43" s="2">
        <v>12</v>
      </c>
      <c r="J43" s="4">
        <v>42405</v>
      </c>
      <c r="K43" s="2" t="s">
        <v>50</v>
      </c>
      <c r="L43" s="2" t="s">
        <v>198</v>
      </c>
    </row>
    <row r="44" spans="1:12" ht="12.3" customHeight="1" x14ac:dyDescent="0.4">
      <c r="A44" s="13">
        <v>43</v>
      </c>
      <c r="B44" s="2" t="s">
        <v>8</v>
      </c>
      <c r="C44" s="2" t="s">
        <v>12</v>
      </c>
      <c r="D44" s="3" t="s">
        <v>161</v>
      </c>
      <c r="E44" s="3" t="s">
        <v>162</v>
      </c>
      <c r="F44" s="2" t="s">
        <v>163</v>
      </c>
      <c r="G44" s="2" t="s">
        <v>12</v>
      </c>
      <c r="H44" s="4">
        <v>42326</v>
      </c>
      <c r="I44" s="2">
        <v>12</v>
      </c>
      <c r="J44" s="4">
        <v>42692</v>
      </c>
      <c r="K44" s="2" t="s">
        <v>164</v>
      </c>
      <c r="L44" s="2" t="s">
        <v>198</v>
      </c>
    </row>
    <row r="45" spans="1:12" ht="12.3" customHeight="1" x14ac:dyDescent="0.4">
      <c r="A45" s="13">
        <v>44</v>
      </c>
      <c r="B45" s="2" t="s">
        <v>8</v>
      </c>
      <c r="C45" s="2" t="s">
        <v>12</v>
      </c>
      <c r="D45" s="3" t="s">
        <v>47</v>
      </c>
      <c r="E45" s="3" t="s">
        <v>158</v>
      </c>
      <c r="F45" s="2" t="s">
        <v>159</v>
      </c>
      <c r="G45" s="2" t="s">
        <v>12</v>
      </c>
      <c r="H45" s="4">
        <v>42045</v>
      </c>
      <c r="I45" s="2">
        <v>12</v>
      </c>
      <c r="J45" s="4">
        <v>42410</v>
      </c>
      <c r="K45" s="2" t="s">
        <v>160</v>
      </c>
      <c r="L45" s="2" t="s">
        <v>198</v>
      </c>
    </row>
    <row r="46" spans="1:12" ht="12.3" customHeight="1" x14ac:dyDescent="0.4">
      <c r="A46" s="13">
        <v>45</v>
      </c>
      <c r="B46" s="2" t="s">
        <v>38</v>
      </c>
      <c r="C46" s="2" t="s">
        <v>12</v>
      </c>
      <c r="D46" s="3" t="s">
        <v>39</v>
      </c>
      <c r="E46" s="3" t="s">
        <v>202</v>
      </c>
      <c r="F46" s="2" t="s">
        <v>165</v>
      </c>
      <c r="G46" s="2" t="s">
        <v>12</v>
      </c>
      <c r="H46" s="4">
        <v>42262</v>
      </c>
      <c r="I46" s="2">
        <v>12</v>
      </c>
      <c r="J46" s="4">
        <v>42628</v>
      </c>
      <c r="K46" s="2" t="s">
        <v>42</v>
      </c>
      <c r="L46" s="2" t="s">
        <v>198</v>
      </c>
    </row>
    <row r="47" spans="1:12" x14ac:dyDescent="0.4">
      <c r="A47" s="13">
        <v>46</v>
      </c>
      <c r="B47" s="2" t="s">
        <v>51</v>
      </c>
      <c r="C47" s="2" t="s">
        <v>12</v>
      </c>
      <c r="D47" s="3" t="s">
        <v>52</v>
      </c>
      <c r="E47" s="3" t="s">
        <v>166</v>
      </c>
      <c r="F47" s="2" t="s">
        <v>167</v>
      </c>
      <c r="G47" s="2" t="s">
        <v>12</v>
      </c>
      <c r="H47" s="4">
        <v>42249</v>
      </c>
      <c r="I47" s="2">
        <v>12</v>
      </c>
      <c r="J47" s="4">
        <v>42615</v>
      </c>
      <c r="K47" s="5" t="s">
        <v>206</v>
      </c>
      <c r="L47" s="2" t="s">
        <v>198</v>
      </c>
    </row>
    <row r="48" spans="1:12" x14ac:dyDescent="0.4">
      <c r="A48" s="13">
        <v>47</v>
      </c>
      <c r="B48" s="2" t="s">
        <v>51</v>
      </c>
      <c r="C48" s="2" t="s">
        <v>12</v>
      </c>
      <c r="D48" s="3" t="s">
        <v>52</v>
      </c>
      <c r="E48" s="3" t="s">
        <v>168</v>
      </c>
      <c r="F48" s="2" t="s">
        <v>169</v>
      </c>
      <c r="G48" s="2" t="s">
        <v>12</v>
      </c>
      <c r="H48" s="4">
        <v>42047</v>
      </c>
      <c r="I48" s="2">
        <v>12</v>
      </c>
      <c r="J48" s="4">
        <v>42412</v>
      </c>
      <c r="K48" s="5" t="s">
        <v>206</v>
      </c>
      <c r="L48" s="2" t="s">
        <v>198</v>
      </c>
    </row>
    <row r="49" spans="1:12" ht="12.3" customHeight="1" x14ac:dyDescent="0.4">
      <c r="A49" s="13">
        <v>48</v>
      </c>
      <c r="B49" s="2" t="s">
        <v>28</v>
      </c>
      <c r="C49" s="2" t="s">
        <v>12</v>
      </c>
      <c r="D49" s="3" t="s">
        <v>29</v>
      </c>
      <c r="E49" s="3" t="s">
        <v>170</v>
      </c>
      <c r="F49" s="2" t="s">
        <v>171</v>
      </c>
      <c r="G49" s="2" t="s">
        <v>186</v>
      </c>
      <c r="H49" s="7" t="s">
        <v>186</v>
      </c>
      <c r="I49" s="7" t="s">
        <v>186</v>
      </c>
      <c r="J49" s="7" t="s">
        <v>186</v>
      </c>
      <c r="K49" s="2"/>
      <c r="L49" s="2" t="s">
        <v>198</v>
      </c>
    </row>
    <row r="50" spans="1:12" ht="12.3" customHeight="1" x14ac:dyDescent="0.4">
      <c r="A50" s="13">
        <v>49</v>
      </c>
      <c r="B50" s="2" t="s">
        <v>9</v>
      </c>
      <c r="C50" s="2" t="s">
        <v>10</v>
      </c>
      <c r="D50" s="3" t="s">
        <v>11</v>
      </c>
      <c r="E50" s="3" t="s">
        <v>172</v>
      </c>
      <c r="F50" s="2" t="s">
        <v>173</v>
      </c>
      <c r="G50" s="2" t="s">
        <v>1</v>
      </c>
      <c r="H50" s="4">
        <v>42228</v>
      </c>
      <c r="I50" s="2">
        <v>12</v>
      </c>
      <c r="J50" s="4">
        <v>42594</v>
      </c>
      <c r="K50" s="2" t="s">
        <v>195</v>
      </c>
      <c r="L50" s="2" t="s">
        <v>198</v>
      </c>
    </row>
    <row r="51" spans="1:12" ht="12.3" customHeight="1" x14ac:dyDescent="0.4">
      <c r="A51" s="13">
        <v>50</v>
      </c>
      <c r="B51" s="2" t="s">
        <v>9</v>
      </c>
      <c r="C51" s="2" t="s">
        <v>10</v>
      </c>
      <c r="D51" s="3" t="s">
        <v>11</v>
      </c>
      <c r="E51" s="3" t="s">
        <v>174</v>
      </c>
      <c r="F51" s="2" t="s">
        <v>175</v>
      </c>
      <c r="G51" s="2" t="s">
        <v>1</v>
      </c>
      <c r="H51" s="4">
        <v>42228</v>
      </c>
      <c r="I51" s="2">
        <v>12</v>
      </c>
      <c r="J51" s="4">
        <v>42594</v>
      </c>
      <c r="K51" s="2" t="s">
        <v>195</v>
      </c>
      <c r="L51" s="2" t="s">
        <v>198</v>
      </c>
    </row>
    <row r="52" spans="1:12" ht="12.3" customHeight="1" x14ac:dyDescent="0.4">
      <c r="A52" s="13">
        <v>51</v>
      </c>
      <c r="B52" s="2" t="s">
        <v>176</v>
      </c>
      <c r="C52" s="2" t="s">
        <v>0</v>
      </c>
      <c r="D52" s="3" t="s">
        <v>177</v>
      </c>
      <c r="E52" s="3" t="s">
        <v>178</v>
      </c>
      <c r="F52" s="2" t="s">
        <v>179</v>
      </c>
      <c r="G52" s="2" t="s">
        <v>1</v>
      </c>
      <c r="H52" s="4">
        <v>42282</v>
      </c>
      <c r="I52" s="2">
        <v>12</v>
      </c>
      <c r="J52" s="4">
        <v>42648</v>
      </c>
      <c r="K52" s="2" t="s">
        <v>197</v>
      </c>
      <c r="L52" s="2" t="s">
        <v>198</v>
      </c>
    </row>
  </sheetData>
  <autoFilter ref="B1:L52" xr:uid="{00000000-0009-0000-0000-000002000000}"/>
  <phoneticPr fontId="9" type="noConversion"/>
  <pageMargins left="0" right="0" top="0.75" bottom="0.75" header="0.3" footer="0.3"/>
  <pageSetup orientation="landscape" r:id="rId1"/>
  <ignoredErrors>
    <ignoredError sqref="C7:E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시험설비 관리대장</vt:lpstr>
      <vt:lpstr>SAR list</vt:lpstr>
      <vt:lpstr>'SAR list'!_FilterDatabase</vt:lpstr>
      <vt:lpstr>'시험설비 관리대장'!Print_Area</vt:lpstr>
    </vt:vector>
  </TitlesOfParts>
  <Company>Underwriters Laboratories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Seo, DoYoung</dc:creator>
  <cp:lastModifiedBy>Kwon, Myeongjun</cp:lastModifiedBy>
  <cp:lastPrinted>2020-09-22T05:33:40Z</cp:lastPrinted>
  <dcterms:created xsi:type="dcterms:W3CDTF">2015-12-09T22:18:14Z</dcterms:created>
  <dcterms:modified xsi:type="dcterms:W3CDTF">2025-03-18T23:38:52Z</dcterms:modified>
</cp:coreProperties>
</file>