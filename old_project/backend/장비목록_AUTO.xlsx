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quipment_management_system\"/>
    </mc:Choice>
  </mc:AlternateContent>
  <xr:revisionPtr revIDLastSave="0" documentId="8_{6469AA53-7C47-4B61-B293-568D4F600B62}" xr6:coauthVersionLast="47" xr6:coauthVersionMax="47" xr10:uidLastSave="{00000000-0000-0000-0000-000000000000}"/>
  <bookViews>
    <workbookView xWindow="38280" yWindow="7530" windowWidth="29040" windowHeight="15720" xr2:uid="{00000000-000D-0000-FFFF-FFFF00000000}"/>
  </bookViews>
  <sheets>
    <sheet name="Automotive EMC" sheetId="15" r:id="rId1"/>
    <sheet name="SAR list" sheetId="5" state="hidden" r:id="rId2"/>
  </sheets>
  <definedNames>
    <definedName name="_xlnm._FilterDatabase" localSheetId="0" hidden="1">'Automotive EMC'!$A$2:$P$139</definedName>
    <definedName name="_xlnm._FilterDatabase" localSheetId="1">'SAR list'!$B$1:$L$52</definedName>
    <definedName name="_xlnm.Print_Area" localSheetId="0">'Automotive EMC'!$A$2:$P$150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9" i="15" l="1"/>
  <c r="F139" i="15" s="1"/>
  <c r="C102" i="15"/>
  <c r="C31" i="15" l="1"/>
  <c r="C63" i="15"/>
  <c r="C62" i="15"/>
  <c r="C125" i="15"/>
  <c r="C3" i="15"/>
  <c r="C109" i="15"/>
  <c r="C115" i="15" l="1"/>
  <c r="C130" i="15"/>
  <c r="C122" i="15" l="1"/>
  <c r="C36" i="15"/>
  <c r="C58" i="15"/>
  <c r="C57" i="15"/>
  <c r="C56" i="15"/>
  <c r="C55" i="15"/>
  <c r="C54" i="15"/>
  <c r="C53" i="15"/>
  <c r="C18" i="15"/>
  <c r="C11" i="15"/>
  <c r="C10" i="15"/>
  <c r="C9" i="15"/>
  <c r="C8" i="15"/>
  <c r="C7" i="15"/>
  <c r="C5" i="15" l="1"/>
  <c r="C6" i="15"/>
  <c r="C92" i="15"/>
  <c r="C110" i="15"/>
  <c r="C38" i="15"/>
  <c r="C43" i="15"/>
  <c r="C42" i="15"/>
  <c r="C40" i="15"/>
  <c r="C39" i="15"/>
  <c r="C41" i="15"/>
  <c r="C24" i="15"/>
  <c r="C23" i="15"/>
  <c r="C22" i="15"/>
  <c r="C21" i="15"/>
  <c r="C120" i="15"/>
  <c r="C111" i="15"/>
  <c r="C47" i="15"/>
  <c r="C46" i="15"/>
  <c r="C45" i="15"/>
  <c r="C44" i="15"/>
  <c r="C25" i="15"/>
  <c r="C128" i="15"/>
  <c r="C127" i="15"/>
  <c r="C51" i="15"/>
  <c r="C20" i="15"/>
  <c r="C108" i="15"/>
  <c r="C107" i="15"/>
  <c r="C105" i="15"/>
  <c r="C104" i="15"/>
  <c r="C101" i="15"/>
  <c r="C97" i="15"/>
  <c r="C96" i="15"/>
  <c r="C95" i="15"/>
  <c r="C103" i="15"/>
  <c r="C4" i="15"/>
  <c r="C106" i="15"/>
  <c r="C13" i="15"/>
  <c r="C15" i="15"/>
  <c r="C16" i="15"/>
  <c r="C14" i="15"/>
  <c r="C12" i="15"/>
  <c r="C37" i="15"/>
  <c r="C94" i="15"/>
  <c r="C93" i="15"/>
  <c r="C123" i="15"/>
  <c r="C137" i="15"/>
  <c r="F137" i="15" s="1"/>
  <c r="F130" i="15"/>
  <c r="C33" i="15" l="1"/>
  <c r="C28" i="15"/>
  <c r="C121" i="15"/>
  <c r="C30" i="15"/>
  <c r="C29" i="15"/>
  <c r="F128" i="15"/>
  <c r="F127" i="15"/>
  <c r="F121" i="15"/>
  <c r="F120" i="15"/>
  <c r="F92" i="15"/>
  <c r="F24" i="15"/>
  <c r="F123" i="15"/>
  <c r="F122" i="15"/>
  <c r="F125" i="15"/>
  <c r="F33" i="15" l="1"/>
  <c r="F12" i="15" l="1"/>
  <c r="F16" i="15"/>
  <c r="F103" i="15" l="1"/>
  <c r="F105" i="15"/>
  <c r="F104" i="15"/>
  <c r="F111" i="15"/>
  <c r="F46" i="15"/>
  <c r="F45" i="15"/>
  <c r="F44" i="15"/>
  <c r="F63" i="15"/>
  <c r="F62" i="15"/>
  <c r="F94" i="15"/>
  <c r="F37" i="15"/>
  <c r="F93" i="15"/>
  <c r="F102" i="15"/>
  <c r="F101" i="15"/>
  <c r="F30" i="15"/>
  <c r="F29" i="15"/>
  <c r="F31" i="15"/>
  <c r="F28" i="15"/>
  <c r="F47" i="15"/>
  <c r="F36" i="15"/>
  <c r="F115" i="15"/>
  <c r="F109" i="15"/>
  <c r="F108" i="15"/>
  <c r="F107" i="15"/>
  <c r="F106" i="15"/>
  <c r="F95" i="15"/>
  <c r="F96" i="15"/>
  <c r="F97" i="15"/>
  <c r="F38" i="15"/>
  <c r="F39" i="15"/>
  <c r="F40" i="15"/>
  <c r="F41" i="15"/>
  <c r="F42" i="15"/>
  <c r="F43" i="15"/>
  <c r="F51" i="15"/>
  <c r="F53" i="15"/>
  <c r="F54" i="15"/>
  <c r="F55" i="15"/>
  <c r="F56" i="15"/>
  <c r="F57" i="15"/>
  <c r="F58" i="15"/>
  <c r="F25" i="15"/>
  <c r="F13" i="15"/>
  <c r="F14" i="15"/>
  <c r="F15" i="15"/>
  <c r="F18" i="15"/>
  <c r="F20" i="15"/>
  <c r="F21" i="15"/>
  <c r="F22" i="15"/>
  <c r="F23" i="15"/>
  <c r="F110" i="15"/>
  <c r="F7" i="15"/>
  <c r="F8" i="15"/>
  <c r="F9" i="15"/>
  <c r="F10" i="15"/>
  <c r="F11" i="15"/>
  <c r="F5" i="15"/>
  <c r="F6" i="15"/>
  <c r="F3" i="15"/>
  <c r="F4" i="15"/>
</calcChain>
</file>

<file path=xl/sharedStrings.xml><?xml version="1.0" encoding="utf-8"?>
<sst xmlns="http://schemas.openxmlformats.org/spreadsheetml/2006/main" count="2386" uniqueCount="763">
  <si>
    <t>AGILENT</t>
  </si>
  <si>
    <t>HCT</t>
  </si>
  <si>
    <t>EME</t>
  </si>
  <si>
    <t>SUW-S0026</t>
  </si>
  <si>
    <t>Directional Coupler</t>
  </si>
  <si>
    <t>Digital Multimeter</t>
  </si>
  <si>
    <t>FLUKE</t>
  </si>
  <si>
    <t>17B</t>
  </si>
  <si>
    <t>Dipole Antenna</t>
  </si>
  <si>
    <t>Temp and Humidity recorder</t>
  </si>
  <si>
    <t>LUTRON</t>
  </si>
  <si>
    <t>MHB-382SD</t>
  </si>
  <si>
    <t>SPEAG</t>
  </si>
  <si>
    <t>D2100V2</t>
  </si>
  <si>
    <t>1037</t>
  </si>
  <si>
    <t>SUW-S0020</t>
  </si>
  <si>
    <t>Head &amp; Body 2100 MHz</t>
  </si>
  <si>
    <t>Thermometer</t>
  </si>
  <si>
    <t>LKM</t>
  </si>
  <si>
    <t>DTM3000</t>
  </si>
  <si>
    <t>3424</t>
  </si>
  <si>
    <t>SUW-S0025</t>
  </si>
  <si>
    <t>Signal Generator</t>
  </si>
  <si>
    <t>100KHz ~ 6GHz</t>
  </si>
  <si>
    <t>D1750V2</t>
  </si>
  <si>
    <t>1125</t>
  </si>
  <si>
    <t>SUW-S0017</t>
  </si>
  <si>
    <t>Head &amp; Body 1750 MHz</t>
  </si>
  <si>
    <t>Dasy52</t>
  </si>
  <si>
    <t>Dasy52 SAR System</t>
  </si>
  <si>
    <t>F14/5T5ZB1/A/01</t>
  </si>
  <si>
    <t>SUW-S0037</t>
  </si>
  <si>
    <t>Attenuator</t>
  </si>
  <si>
    <t>N5181A</t>
  </si>
  <si>
    <t>MY50145882</t>
  </si>
  <si>
    <t>SUW-S0001</t>
  </si>
  <si>
    <t>28050366WS</t>
  </si>
  <si>
    <t>SUW-S0036</t>
  </si>
  <si>
    <t>Data Acquisition System</t>
  </si>
  <si>
    <t>DAE4</t>
  </si>
  <si>
    <t>1447</t>
  </si>
  <si>
    <t>SUW-S0030</t>
  </si>
  <si>
    <t xml:space="preserve">-100 TO +300Mv </t>
  </si>
  <si>
    <t>D750V3</t>
  </si>
  <si>
    <t>1122</t>
  </si>
  <si>
    <t>SUW-S0015</t>
  </si>
  <si>
    <t>Head &amp; Body 750 MHz</t>
  </si>
  <si>
    <t>D5GHzV2</t>
  </si>
  <si>
    <t>1184</t>
  </si>
  <si>
    <t>SUW-S0022</t>
  </si>
  <si>
    <t>Head &amp; Body 2450 MHz</t>
  </si>
  <si>
    <t>E-field probe</t>
  </si>
  <si>
    <t>EX3DV4</t>
  </si>
  <si>
    <t>7313</t>
  </si>
  <si>
    <t>SUW-S0031</t>
  </si>
  <si>
    <t>778D</t>
  </si>
  <si>
    <t>MY52180432</t>
  </si>
  <si>
    <t>SUW-S0009</t>
  </si>
  <si>
    <t>2~18GHz</t>
  </si>
  <si>
    <t>Low Pass Filter</t>
  </si>
  <si>
    <t>FILTRON</t>
  </si>
  <si>
    <t xml:space="preserve">L14012FL </t>
  </si>
  <si>
    <t>1410003S</t>
  </si>
  <si>
    <t>SUW-S0007</t>
  </si>
  <si>
    <t>~3GHz</t>
  </si>
  <si>
    <t>Wideband Radio Communications Tester</t>
  </si>
  <si>
    <t>ROHDE &amp; SCHWARZ</t>
  </si>
  <si>
    <t>CMW500</t>
  </si>
  <si>
    <t>772D</t>
  </si>
  <si>
    <t>MY52180193</t>
  </si>
  <si>
    <t>SUW-S0010</t>
  </si>
  <si>
    <t>100M~2GHz</t>
  </si>
  <si>
    <t>150313</t>
  </si>
  <si>
    <t>SUW-S0011</t>
  </si>
  <si>
    <t>SUW-S0027</t>
  </si>
  <si>
    <t>1494</t>
  </si>
  <si>
    <t>SUW-S0029</t>
  </si>
  <si>
    <t>8491B/010</t>
  </si>
  <si>
    <t>MY39269315</t>
  </si>
  <si>
    <t>SUW-S0003</t>
  </si>
  <si>
    <t>10dB</t>
  </si>
  <si>
    <t>8491B/003</t>
  </si>
  <si>
    <t>MY39269292</t>
  </si>
  <si>
    <t>SUW-S0002</t>
  </si>
  <si>
    <t xml:space="preserve">3dB </t>
  </si>
  <si>
    <t>Power Sensor</t>
  </si>
  <si>
    <t xml:space="preserve">U2000A </t>
  </si>
  <si>
    <t>MY54260007</t>
  </si>
  <si>
    <t>SUW-S0014</t>
  </si>
  <si>
    <t>10MHz ~ 18GHz</t>
  </si>
  <si>
    <t>D1950V3</t>
  </si>
  <si>
    <t>1157</t>
  </si>
  <si>
    <t>SUW-S0019</t>
  </si>
  <si>
    <t>Head &amp; Body 1950 MHz</t>
  </si>
  <si>
    <t>150314</t>
  </si>
  <si>
    <t>SUW-S0012</t>
  </si>
  <si>
    <t>Amplifier</t>
  </si>
  <si>
    <t>EXODUS</t>
  </si>
  <si>
    <t>AMP2027</t>
  </si>
  <si>
    <t>1410025-_x000D_
AMP2027-10003</t>
  </si>
  <si>
    <t>SUW-S0005</t>
  </si>
  <si>
    <t>100M~6GHz</t>
  </si>
  <si>
    <t>D835V2</t>
  </si>
  <si>
    <t>4d174</t>
  </si>
  <si>
    <t>SUW-S0016</t>
  </si>
  <si>
    <t>Head &amp; Body 835 MHz</t>
  </si>
  <si>
    <t>DIELECTRIC PROBES</t>
  </si>
  <si>
    <t>DAK-3.5 Probe</t>
  </si>
  <si>
    <t>1196</t>
  </si>
  <si>
    <t>SUW-S0024</t>
  </si>
  <si>
    <t>MICROLAB</t>
  </si>
  <si>
    <t xml:space="preserve">LA-60N </t>
  </si>
  <si>
    <t>03942</t>
  </si>
  <si>
    <t>SUW-S0008</t>
  </si>
  <si>
    <t>~6GHz</t>
  </si>
  <si>
    <t>D2450V2</t>
  </si>
  <si>
    <t>939</t>
  </si>
  <si>
    <t>SUW-S0021</t>
  </si>
  <si>
    <t>F14/5VR2C1/A/01</t>
  </si>
  <si>
    <t>SUW-S0038</t>
  </si>
  <si>
    <t>D1900V2</t>
  </si>
  <si>
    <t>5d190</t>
  </si>
  <si>
    <t>SUW-S0018</t>
  </si>
  <si>
    <t>Head &amp; Body 1900 MHz</t>
  </si>
  <si>
    <t>8491B/020</t>
  </si>
  <si>
    <t>MY39269298</t>
  </si>
  <si>
    <t>SUW-S0004</t>
  </si>
  <si>
    <t xml:space="preserve">20dB </t>
  </si>
  <si>
    <t>27770592WS</t>
  </si>
  <si>
    <t>SUW-S0035</t>
  </si>
  <si>
    <t>7314</t>
  </si>
  <si>
    <t>SUW-S0032</t>
  </si>
  <si>
    <t>Shield Room</t>
  </si>
  <si>
    <t>SUW-S0028</t>
  </si>
  <si>
    <t>AH.50215</t>
  </si>
  <si>
    <t>SUW-S0033</t>
  </si>
  <si>
    <t>NETWORK ANALYZER</t>
  </si>
  <si>
    <t>E5071C</t>
  </si>
  <si>
    <t>MY46522054</t>
  </si>
  <si>
    <t>SUW-S0023</t>
  </si>
  <si>
    <t>MY54260010</t>
  </si>
  <si>
    <t>SUW-S0013</t>
  </si>
  <si>
    <t xml:space="preserve">LA-15N </t>
  </si>
  <si>
    <t>03943</t>
  </si>
  <si>
    <t>SUW-S0006</t>
  </si>
  <si>
    <t>~1.5GHz</t>
  </si>
  <si>
    <t>AH.50213</t>
  </si>
  <si>
    <t>SUW-S0034</t>
  </si>
  <si>
    <t>4d194</t>
  </si>
  <si>
    <t>SUW-S0039</t>
  </si>
  <si>
    <t>D1800V2</t>
  </si>
  <si>
    <t>2d204</t>
  </si>
  <si>
    <t>SUW-S0040</t>
  </si>
  <si>
    <t>Head &amp; Body 1800 MHz</t>
  </si>
  <si>
    <t>5d199</t>
  </si>
  <si>
    <t>SUW-S0041</t>
  </si>
  <si>
    <t>960</t>
  </si>
  <si>
    <t>SUW-S0042</t>
  </si>
  <si>
    <t>1209</t>
  </si>
  <si>
    <t>SUW-S0044</t>
  </si>
  <si>
    <t>Head &amp; Body 5GHz</t>
  </si>
  <si>
    <t>D2600V2</t>
  </si>
  <si>
    <t>1097</t>
  </si>
  <si>
    <t>SUW-S0043</t>
  </si>
  <si>
    <t>Head &amp; Body 2600 MHz</t>
  </si>
  <si>
    <t>SUW-S0045</t>
  </si>
  <si>
    <t>7376</t>
  </si>
  <si>
    <t>SUW-S0046</t>
  </si>
  <si>
    <t>7330</t>
  </si>
  <si>
    <t>SUW-S0047</t>
  </si>
  <si>
    <t>F14/5W9FA1/A/01</t>
  </si>
  <si>
    <t>SUW-S0048</t>
  </si>
  <si>
    <t>AH.91478</t>
  </si>
  <si>
    <t>SUW-S0049</t>
  </si>
  <si>
    <t>AH.91463</t>
  </si>
  <si>
    <t>SUW-S0050</t>
  </si>
  <si>
    <t>Wireless communications test set</t>
  </si>
  <si>
    <t>E5515C</t>
  </si>
  <si>
    <t>MY50260520</t>
  </si>
  <si>
    <t>SUW-S0051</t>
  </si>
  <si>
    <r>
      <rPr>
        <sz val="10"/>
        <color theme="1"/>
        <rFont val="맑은 고딕"/>
        <family val="2"/>
        <charset val="129"/>
      </rPr>
      <t>−</t>
    </r>
    <r>
      <rPr>
        <sz val="10"/>
        <color theme="1"/>
        <rFont val="Arial"/>
        <family val="2"/>
      </rPr>
      <t>200 ~ 820°C</t>
    </r>
  </si>
  <si>
    <t>장비명</t>
  </si>
  <si>
    <t>제조사</t>
  </si>
  <si>
    <t>모델명</t>
  </si>
  <si>
    <t>일련번호</t>
  </si>
  <si>
    <t>관리번호</t>
  </si>
  <si>
    <t>N/A</t>
  </si>
  <si>
    <t>교정</t>
  </si>
  <si>
    <t>최종교정일</t>
  </si>
  <si>
    <t>차기교정일</t>
  </si>
  <si>
    <t>장비사양</t>
  </si>
  <si>
    <t>설치장소</t>
  </si>
  <si>
    <t>교정주기</t>
  </si>
  <si>
    <t>GSM,CDMA,WCDMA,LTE</t>
  </si>
  <si>
    <t>1000V</t>
  </si>
  <si>
    <r>
      <t>50</t>
    </r>
    <r>
      <rPr>
        <sz val="10"/>
        <color theme="1"/>
        <rFont val="맑은 고딕"/>
        <family val="2"/>
        <charset val="129"/>
      </rPr>
      <t>℃, 90%</t>
    </r>
  </si>
  <si>
    <t>Head &amp; Body 5 GHz</t>
  </si>
  <si>
    <t>GSM,CDMA,WCDMA</t>
  </si>
  <si>
    <t>2F- SAR</t>
  </si>
  <si>
    <r>
      <t>7000</t>
    </r>
    <r>
      <rPr>
        <sz val="10"/>
        <color theme="1"/>
        <rFont val="맑은 고딕"/>
        <family val="3"/>
        <charset val="129"/>
      </rPr>
      <t>×</t>
    </r>
    <r>
      <rPr>
        <sz val="10"/>
        <color theme="1"/>
        <rFont val="Arial"/>
        <family val="2"/>
      </rPr>
      <t>5000×3000 (mm)</t>
    </r>
  </si>
  <si>
    <t>200MHz~20GHz</t>
  </si>
  <si>
    <t>9KHz~6.5GHz</t>
  </si>
  <si>
    <t>1468</t>
  </si>
  <si>
    <t>번호</t>
  </si>
  <si>
    <t>위치</t>
  </si>
  <si>
    <r>
      <t>7000</t>
    </r>
    <r>
      <rPr>
        <sz val="10"/>
        <rFont val="맑은 고딕"/>
        <family val="3"/>
        <charset val="129"/>
      </rPr>
      <t>×</t>
    </r>
    <r>
      <rPr>
        <sz val="10"/>
        <rFont val="Arial"/>
        <family val="2"/>
      </rPr>
      <t>5000×3000 (mm)</t>
    </r>
  </si>
  <si>
    <t>10MHz to 6GHz</t>
  </si>
  <si>
    <t>교정기관</t>
  </si>
  <si>
    <t>차기교정일</t>
    <phoneticPr fontId="8" type="noConversion"/>
  </si>
  <si>
    <t>SUW-A0002</t>
  </si>
  <si>
    <t>SUW-A0003</t>
  </si>
  <si>
    <t>SUW-A0004</t>
  </si>
  <si>
    <t>SUW-A0005</t>
  </si>
  <si>
    <t>SUW-A0006</t>
  </si>
  <si>
    <t>SUW-A0007</t>
  </si>
  <si>
    <t>SUW-A0008</t>
  </si>
  <si>
    <t>SUW-A0009</t>
  </si>
  <si>
    <t>SUW-A0010</t>
  </si>
  <si>
    <t>SUW-A0011</t>
  </si>
  <si>
    <t>SUW-A0012</t>
  </si>
  <si>
    <t>SUW-A0013</t>
  </si>
  <si>
    <t>SUW-A0014</t>
  </si>
  <si>
    <t>SUW-A0015</t>
  </si>
  <si>
    <t>SUW-A0016</t>
  </si>
  <si>
    <t>SUW-A0017</t>
  </si>
  <si>
    <t>SUW-A0018</t>
  </si>
  <si>
    <t>SUW-A0020</t>
  </si>
  <si>
    <t>SUW-A0021</t>
  </si>
  <si>
    <t>SUW-A0022</t>
  </si>
  <si>
    <t>SUW-A0023</t>
  </si>
  <si>
    <t>SUW-A0024</t>
  </si>
  <si>
    <t>SUW-A0025</t>
  </si>
  <si>
    <t>SUW-A0026</t>
  </si>
  <si>
    <t>SUW-A0027</t>
  </si>
  <si>
    <t>SUW-A0028</t>
  </si>
  <si>
    <t>SUW-A0029</t>
  </si>
  <si>
    <t>SUW-A0030</t>
  </si>
  <si>
    <t>SUW-A0031</t>
  </si>
  <si>
    <t>SUW-A0032</t>
  </si>
  <si>
    <t>SUW-A0033</t>
  </si>
  <si>
    <t>SUW-A0034</t>
  </si>
  <si>
    <t>SUW-A0035</t>
  </si>
  <si>
    <t>SUW-A0036</t>
  </si>
  <si>
    <t>SUW-A0037</t>
  </si>
  <si>
    <t>SUW-A0038</t>
  </si>
  <si>
    <t>SUW-A0039</t>
  </si>
  <si>
    <t>SUW-A0040</t>
  </si>
  <si>
    <t>SUW-A0041</t>
  </si>
  <si>
    <t>SUW-A0042</t>
  </si>
  <si>
    <t>SUW-A0043</t>
  </si>
  <si>
    <t>SUW-A0044</t>
  </si>
  <si>
    <t>SUW-A0045</t>
  </si>
  <si>
    <t>SUW-A0046</t>
  </si>
  <si>
    <t>SUW-A0048</t>
  </si>
  <si>
    <t>SUW-A0049</t>
  </si>
  <si>
    <t>SUW-A0050</t>
  </si>
  <si>
    <t>SUW-A0051</t>
  </si>
  <si>
    <t>SUW-A0052</t>
  </si>
  <si>
    <t>SUW-A0053</t>
  </si>
  <si>
    <t>SUW-A0054</t>
  </si>
  <si>
    <t>SUW-A0055</t>
  </si>
  <si>
    <t>SUW-A0056</t>
  </si>
  <si>
    <t>SUW-A0057</t>
  </si>
  <si>
    <t>SUW-A0058</t>
  </si>
  <si>
    <t>SUW-A0060</t>
  </si>
  <si>
    <t>SUW-A0061</t>
  </si>
  <si>
    <t>SUW-A0062</t>
  </si>
  <si>
    <t>SUW-A0063</t>
  </si>
  <si>
    <t>SUW-A0064</t>
  </si>
  <si>
    <t>SUW-A0065</t>
  </si>
  <si>
    <t>SUW-A0066</t>
  </si>
  <si>
    <t>SUW-A0067</t>
  </si>
  <si>
    <t>SUW-A0068</t>
  </si>
  <si>
    <t>SUW-A0069</t>
  </si>
  <si>
    <t>SUW-A0070</t>
  </si>
  <si>
    <t>SUW-A0071</t>
  </si>
  <si>
    <t>SUW-A0072</t>
  </si>
  <si>
    <t>SUW-A0073</t>
  </si>
  <si>
    <t>SUW-A0074</t>
  </si>
  <si>
    <t>SUW-A0075</t>
  </si>
  <si>
    <t>SUW-A0076</t>
  </si>
  <si>
    <t>SUW-A0077</t>
  </si>
  <si>
    <t>SUW-A0078</t>
  </si>
  <si>
    <t>SUW-A0079</t>
  </si>
  <si>
    <t>SUW-A0080</t>
  </si>
  <si>
    <t>SUW-A0081</t>
  </si>
  <si>
    <t>SUW-A0082</t>
  </si>
  <si>
    <t>SUW-A0083</t>
  </si>
  <si>
    <t>SUW-A0084</t>
  </si>
  <si>
    <t>SUW-A0085</t>
  </si>
  <si>
    <t>SUW-A0086</t>
  </si>
  <si>
    <t>SUW-A0087</t>
  </si>
  <si>
    <t>SUW-A0088</t>
  </si>
  <si>
    <t>SUW-A0089</t>
  </si>
  <si>
    <t>SUW-A0090</t>
  </si>
  <si>
    <t>SUW-A0091</t>
  </si>
  <si>
    <t>SUW-A0092</t>
  </si>
  <si>
    <t>SUW-A0093</t>
  </si>
  <si>
    <t>SUW-A0094</t>
  </si>
  <si>
    <t>SUW-A0095</t>
  </si>
  <si>
    <t>SUW-A0096</t>
  </si>
  <si>
    <t>SUW-A0097</t>
  </si>
  <si>
    <t>SUW-A0098</t>
  </si>
  <si>
    <t>SUW-A0099</t>
  </si>
  <si>
    <t>SUW-A0100</t>
  </si>
  <si>
    <t>SUW-A0101</t>
  </si>
  <si>
    <t>SUW-A0102</t>
  </si>
  <si>
    <t>SUW-A0103</t>
  </si>
  <si>
    <t>SUW-A0104</t>
  </si>
  <si>
    <t>SUW-A0105</t>
  </si>
  <si>
    <t>SUW-A0106</t>
  </si>
  <si>
    <t>SUW-A0107</t>
  </si>
  <si>
    <t>SUW-A0108</t>
  </si>
  <si>
    <t>SUW-A0109</t>
  </si>
  <si>
    <t>SUW-A0110</t>
  </si>
  <si>
    <t>SUW-A0111</t>
  </si>
  <si>
    <t>SUW-A0112</t>
  </si>
  <si>
    <t>SUW-A0113</t>
  </si>
  <si>
    <t>SUW-A0114</t>
  </si>
  <si>
    <t>SUW-A0115</t>
  </si>
  <si>
    <t>SUW-A0116</t>
  </si>
  <si>
    <t>SUW-A0117</t>
  </si>
  <si>
    <t>SUW-A0118</t>
  </si>
  <si>
    <t>SUW-A0119</t>
  </si>
  <si>
    <t>Schwarzbeck</t>
  </si>
  <si>
    <t>01-00061A</t>
  </si>
  <si>
    <t>NRP6A</t>
  </si>
  <si>
    <t>BBA150-BC1000</t>
  </si>
  <si>
    <t>BBA150-A200</t>
  </si>
  <si>
    <t>BBA150-E100</t>
  </si>
  <si>
    <t>CV07-900</t>
  </si>
  <si>
    <t>CV07-1280</t>
  </si>
  <si>
    <t>CV07-430</t>
  </si>
  <si>
    <t>CV07-835</t>
  </si>
  <si>
    <t>CV07-1750</t>
  </si>
  <si>
    <t>CV07-1880</t>
  </si>
  <si>
    <t>CV07-1950</t>
  </si>
  <si>
    <t>SOLAR</t>
  </si>
  <si>
    <t>9230-1</t>
  </si>
  <si>
    <t>FCC</t>
  </si>
  <si>
    <r>
      <t>Power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Amplifier</t>
    </r>
  </si>
  <si>
    <r>
      <t>Mobile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Antenna</t>
    </r>
  </si>
  <si>
    <r>
      <t>Diamond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Antenna</t>
    </r>
  </si>
  <si>
    <r>
      <t>Sleeve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Antenna</t>
    </r>
  </si>
  <si>
    <t>Rohde &amp; Schwarz</t>
  </si>
  <si>
    <t>V-NETWORK</t>
  </si>
  <si>
    <t>ESH3-Z6</t>
  </si>
  <si>
    <t>5-T-MN</t>
  </si>
  <si>
    <t>BIRD</t>
  </si>
  <si>
    <t>50℃, 90%</t>
  </si>
  <si>
    <t>EMI Test Receiver</t>
  </si>
  <si>
    <t>Pre-Amplifier</t>
  </si>
  <si>
    <t>Voltage Probe</t>
  </si>
  <si>
    <t>65N-50-0-1/133 NE</t>
  </si>
  <si>
    <t>DC-4GHz</t>
  </si>
  <si>
    <t>2-A-MFN-20</t>
  </si>
  <si>
    <t>300-A-FFN-10</t>
  </si>
  <si>
    <t>150-A-FFN-06</t>
  </si>
  <si>
    <t>100-A-FFN-20</t>
  </si>
  <si>
    <t>Biconical Antenna</t>
  </si>
  <si>
    <t>Active Rod Antenna</t>
  </si>
  <si>
    <t>HFH2-Z6E</t>
  </si>
  <si>
    <t>HK116E</t>
  </si>
  <si>
    <t>HL223</t>
  </si>
  <si>
    <t>Stacked Log periodic Antenna</t>
  </si>
  <si>
    <t>BBHA 9120 E</t>
  </si>
  <si>
    <t>Horn Antenna (EMI)</t>
  </si>
  <si>
    <t>ETS-Lindgren</t>
  </si>
  <si>
    <t>Power Meter</t>
  </si>
  <si>
    <t>SMB100B</t>
  </si>
  <si>
    <t>BBHA 9120 J</t>
  </si>
  <si>
    <t>HMF2525</t>
  </si>
  <si>
    <t>NRX</t>
  </si>
  <si>
    <t>Average Power Sensor</t>
  </si>
  <si>
    <t>Wideband Power Sensor</t>
  </si>
  <si>
    <t>NRP-Z81</t>
    <phoneticPr fontId="4" type="noConversion"/>
  </si>
  <si>
    <t>NRP-Z81</t>
  </si>
  <si>
    <t>NRP6AN</t>
  </si>
  <si>
    <t>DC3002A</t>
  </si>
  <si>
    <t>MARKI MICROWAVE</t>
  </si>
  <si>
    <t>BBA150-D800</t>
  </si>
  <si>
    <t>9kHz ~ 250MHz, 200[W]</t>
  </si>
  <si>
    <t>80Mz ~ 1GHz, 1000[W]</t>
  </si>
  <si>
    <t>0.69GHz ~ 3.2Hz, 800[W]</t>
  </si>
  <si>
    <t>2.5GHz ~ 6GHz, 100[W]</t>
  </si>
  <si>
    <t>Bulk Current Injection Probe</t>
  </si>
  <si>
    <t>BCI Calibration Fixture</t>
  </si>
  <si>
    <t>FCC-BCICF-1</t>
  </si>
  <si>
    <t>FCC-BCICF-2</t>
  </si>
  <si>
    <t>DC Power Supply</t>
  </si>
  <si>
    <t>ACP</t>
  </si>
  <si>
    <t>Magnetic Radiating Loop</t>
  </si>
  <si>
    <t>Capacitive Coupling Clamp</t>
  </si>
  <si>
    <t>LD 200N</t>
  </si>
  <si>
    <t>Auto wave</t>
  </si>
  <si>
    <t>ACC</t>
  </si>
  <si>
    <t>NE-DCC-ed3</t>
  </si>
  <si>
    <t>MN2-F130A-1</t>
  </si>
  <si>
    <t>RCB200N1</t>
  </si>
  <si>
    <t>UCS 200N50</t>
  </si>
  <si>
    <t>P1632182856</t>
  </si>
  <si>
    <t>60V/50A
Automotive generator</t>
  </si>
  <si>
    <t>Ultra Compact Simulator</t>
  </si>
  <si>
    <t>VDS 200Q50</t>
  </si>
  <si>
    <t>P1629181977</t>
  </si>
  <si>
    <t>Voltage Drop Simulator</t>
  </si>
  <si>
    <t>CA ISO</t>
  </si>
  <si>
    <t>P1639184581</t>
  </si>
  <si>
    <t>BS 200N100</t>
  </si>
  <si>
    <t>P1651189891</t>
  </si>
  <si>
    <t>BSM 200N40</t>
  </si>
  <si>
    <t>P1651189885</t>
  </si>
  <si>
    <t>AN 2050N</t>
  </si>
  <si>
    <t>P1347126205</t>
  </si>
  <si>
    <t>P1643186060</t>
  </si>
  <si>
    <t>RS-BOX</t>
  </si>
  <si>
    <t>HCT</t>
    <phoneticPr fontId="9" type="noConversion"/>
  </si>
  <si>
    <t>EM Test</t>
    <phoneticPr fontId="9" type="noConversion"/>
  </si>
  <si>
    <t>Electronic Switch</t>
  </si>
  <si>
    <t>Mechanical Switch</t>
  </si>
  <si>
    <t>Single-Line Artificial Network</t>
  </si>
  <si>
    <t>Load Impedance</t>
  </si>
  <si>
    <t>VTSD 9561-F</t>
  </si>
  <si>
    <t>HMP2020</t>
  </si>
  <si>
    <t>34465A</t>
  </si>
  <si>
    <t>HF-6FX</t>
  </si>
  <si>
    <t>HF-10FX</t>
  </si>
  <si>
    <t>HF-15FX</t>
  </si>
  <si>
    <t>HF-40FXW</t>
  </si>
  <si>
    <t>HF-80FX</t>
  </si>
  <si>
    <t>NR770S</t>
  </si>
  <si>
    <t>MR2A</t>
  </si>
  <si>
    <t>CV07-144</t>
  </si>
  <si>
    <t>CV07-725</t>
  </si>
  <si>
    <t>CV07-790</t>
  </si>
  <si>
    <t>CV07-850</t>
  </si>
  <si>
    <t>CV07-890</t>
  </si>
  <si>
    <t>CV07-910</t>
  </si>
  <si>
    <t>CV07-1440</t>
  </si>
  <si>
    <t>CV07-2350</t>
  </si>
  <si>
    <t>CV07-2450</t>
  </si>
  <si>
    <t>CV07-2550</t>
  </si>
  <si>
    <t>CV07-3500</t>
  </si>
  <si>
    <t>EMC-144</t>
  </si>
  <si>
    <t>TOYO</t>
  </si>
  <si>
    <t>2F-Auto</t>
  </si>
  <si>
    <t>AI.88966</t>
  </si>
  <si>
    <t>DC-10GHz</t>
  </si>
  <si>
    <t>10kHz to 6GHz, 200V/m</t>
  </si>
  <si>
    <t>BCT 2080-1000</t>
  </si>
  <si>
    <t>1.5kW DC to 2000MHz c/w 7/16 (F) connector</t>
  </si>
  <si>
    <t>Load Resistor</t>
  </si>
  <si>
    <t>10k-1GHz</t>
  </si>
  <si>
    <t>18 GHz (N Type F connectors)</t>
  </si>
  <si>
    <t>25MHz</t>
  </si>
  <si>
    <t>6.5 digit Multimeter</t>
  </si>
  <si>
    <t>BCT2080 Termination</t>
  </si>
  <si>
    <t>LUMILOOP</t>
  </si>
  <si>
    <t>Loop Sensor</t>
  </si>
  <si>
    <t>9229-1</t>
  </si>
  <si>
    <t>8kHz - 6GHz; 100pW-200mW; N(m)</t>
  </si>
  <si>
    <t>20 - 300MHz</t>
  </si>
  <si>
    <t>2W, N(m)-N(f), DC-1GHz,20dB</t>
  </si>
  <si>
    <t>300W, 10dB,N(f)-N(f), DC-2.4GHz</t>
  </si>
  <si>
    <t>150W, 6dB,N(f)-N(f), DC-2.4GHz</t>
  </si>
  <si>
    <t>100W, 20dB,N(f)-N(f), DC-2.4GHz</t>
  </si>
  <si>
    <t>0.1  - 200 MHz</t>
  </si>
  <si>
    <t>0.1 - 200 MHz</t>
  </si>
  <si>
    <t>144 MHz/430 MHz , 100 W, VSWR &lt;1.5:1</t>
  </si>
  <si>
    <t>3.5MHz, 120W, VSWR &lt;1.5:1</t>
  </si>
  <si>
    <t>7MHz, 200W, VSWR &lt;1.5:1</t>
  </si>
  <si>
    <t>21MHz, 220W, VSWR &lt;1.5:1</t>
  </si>
  <si>
    <t>28MHz, 250W, VSWR &lt;1.5:1</t>
  </si>
  <si>
    <t>50MHz, 120W, VSWR &lt;1.5:1</t>
  </si>
  <si>
    <t>1.5 D-QSUPER (1m) 3.5 DQEFV (3m)</t>
  </si>
  <si>
    <t>144 MHz, VSWR &lt;1.36:1</t>
  </si>
  <si>
    <t>430 MHz, VSWR &lt;1.24:1</t>
  </si>
  <si>
    <t>725 MHz, VSWR &lt;1.38:1</t>
  </si>
  <si>
    <t>790 MHz, VSWR &lt;1.31:1</t>
  </si>
  <si>
    <t>835 MHz, VSWR &lt;1.40:1</t>
  </si>
  <si>
    <t>850 MHz, VSWR &lt;1.39:1</t>
  </si>
  <si>
    <t>890MHz, VSWR &lt;1.33:1</t>
  </si>
  <si>
    <t>900 MHz, VSWR &lt;1.38:1</t>
  </si>
  <si>
    <t>910 MHz, VSWR &lt;1.35:1</t>
  </si>
  <si>
    <t>1280 MHz, VSWR &lt;1.41:1</t>
  </si>
  <si>
    <t>1440 MHz, VSWR &lt;1.41:1</t>
  </si>
  <si>
    <t>1950 MHz, VSWR &lt;1.41:1</t>
  </si>
  <si>
    <t>1750 MHz, VSWR &lt;1.31:1</t>
  </si>
  <si>
    <t>1880 MHz, VSWR &lt;1.43:1</t>
  </si>
  <si>
    <t>2350 MHz, VSWR &lt;1.21:1</t>
  </si>
  <si>
    <t>2450 MHz, VSWR &lt;1.24:1</t>
  </si>
  <si>
    <t>2550 MHz, VSWR &lt;1.23:1</t>
  </si>
  <si>
    <t>3500 MHz, VSWR &lt;1.01:1</t>
  </si>
  <si>
    <t>144 MHz, VSWR &lt;1.5:1</t>
  </si>
  <si>
    <t>EMC-430</t>
  </si>
  <si>
    <t>430 MHz, VSWR &lt;1.17:1</t>
  </si>
  <si>
    <t>F010008</t>
  </si>
  <si>
    <t>Isotropic Field Sensor</t>
  </si>
  <si>
    <t>1926782-03</t>
  </si>
  <si>
    <t>Dual Directional Coupler</t>
  </si>
  <si>
    <t>800 Mhz - 6.2 GHz, 400w</t>
  </si>
  <si>
    <t>NMH6M ANTENNA SET</t>
  </si>
  <si>
    <t>Power Amplifier</t>
  </si>
  <si>
    <t>1kVA, DC-300KHz, Output P:1100w to 8ohms</t>
  </si>
  <si>
    <t>MY59020718</t>
  </si>
  <si>
    <t>221065-2</t>
  </si>
  <si>
    <t>221065-1</t>
  </si>
  <si>
    <t>Circular Radiating Loop</t>
  </si>
  <si>
    <t>Gaussmeter</t>
  </si>
  <si>
    <t>FESP5133</t>
  </si>
  <si>
    <t>LSA26H8</t>
  </si>
  <si>
    <t>Lake Shore</t>
  </si>
  <si>
    <t>0 - 20 (50) kHz</t>
  </si>
  <si>
    <t>AE Techron</t>
  </si>
  <si>
    <t>DC - 200 MHz, &lt; 100 dBµV, 10 dB +/- 0.5 dB</t>
  </si>
  <si>
    <t>P1951236215</t>
  </si>
  <si>
    <t>P1950236090</t>
  </si>
  <si>
    <t>P2004237788</t>
  </si>
  <si>
    <t>P1946236262</t>
  </si>
  <si>
    <t>NAKANO EMC</t>
  </si>
  <si>
    <t>P1949235567</t>
  </si>
  <si>
    <t>0401417/0401418</t>
  </si>
  <si>
    <t>LIN SET</t>
  </si>
  <si>
    <t xml:space="preserve"> LS CAN SET</t>
  </si>
  <si>
    <t>HS CAN SET</t>
  </si>
  <si>
    <t>0801350/0801351</t>
  </si>
  <si>
    <t>CI 220, CI260</t>
  </si>
  <si>
    <t>Fast Pulse / Slow Pulse</t>
  </si>
  <si>
    <t>EM Test</t>
  </si>
  <si>
    <t>Auto Wave</t>
  </si>
  <si>
    <t>6cm Loop Antenna</t>
    <phoneticPr fontId="8" type="noConversion"/>
  </si>
  <si>
    <t>Matching Resistor</t>
  </si>
  <si>
    <t>Load Dump Generator</t>
  </si>
  <si>
    <t>ACPD 5050</t>
  </si>
  <si>
    <t>ACPD 50050</t>
  </si>
  <si>
    <t>DC ~ 500V, 1.5kW</t>
  </si>
  <si>
    <t xml:space="preserve">DC ~ 30V, 1kW </t>
  </si>
  <si>
    <t>Analog Optical System</t>
    <phoneticPr fontId="8" type="noConversion"/>
  </si>
  <si>
    <t>Digital Multimeter</t>
    <phoneticPr fontId="8" type="noConversion"/>
  </si>
  <si>
    <t>Pulse limiter</t>
  </si>
  <si>
    <t>RF Current Probe</t>
  </si>
  <si>
    <t>Amplifier Research</t>
  </si>
  <si>
    <t>Noiseken</t>
  </si>
  <si>
    <t>BONN Elektronik</t>
  </si>
  <si>
    <t>KEYSIGHT</t>
  </si>
  <si>
    <t>CA BS 200N</t>
  </si>
  <si>
    <t>CA18</t>
  </si>
  <si>
    <t>IN600</t>
  </si>
  <si>
    <t>Bias Unit</t>
  </si>
  <si>
    <t>RI 140,0=120mm/f:30Hz,100kHz</t>
  </si>
  <si>
    <t>Huber-Suhner</t>
  </si>
  <si>
    <t>SCU08F2</t>
  </si>
  <si>
    <t xml:space="preserve">Impulse Noise Simulator </t>
  </si>
  <si>
    <t xml:space="preserve">Coupling Adapter </t>
  </si>
  <si>
    <t>15-00007A</t>
  </si>
  <si>
    <t>CA-806</t>
  </si>
  <si>
    <t>Coupling Cable Box</t>
  </si>
  <si>
    <t>8uH, 64uH Included</t>
  </si>
  <si>
    <t>Capacitor 470pF</t>
  </si>
  <si>
    <t>Capacitor 10pF</t>
  </si>
  <si>
    <t xml:space="preserve"> INS-0420</t>
  </si>
  <si>
    <t xml:space="preserve"> 1000ns, 2kV</t>
  </si>
  <si>
    <t>AC 250V,20A / DC 65V,20A</t>
  </si>
  <si>
    <t>115V/230V +10%/-15%, Max. 80V/30A</t>
  </si>
  <si>
    <t>Shunt resistors 10 Ω, 20 Ω, 40 Ω, 120 Ω</t>
  </si>
  <si>
    <t>-15V to +60V/50A</t>
  </si>
  <si>
    <t>Max. Voltage 1kV, 1000 mm x 140 mm, Height 27 mm</t>
  </si>
  <si>
    <t>DC 60V /100 A</t>
  </si>
  <si>
    <t xml:space="preserve"> DC 24V/40 A</t>
  </si>
  <si>
    <t>10ohm, 20ohm, 40ohm, 120ohm, DC 28V/50A</t>
  </si>
  <si>
    <t>0.5ohm, 1ohm, 2ohm, 4ohm,
10ohm, 20ohm, 50ohm</t>
  </si>
  <si>
    <t>STLP 9128 ES</t>
  </si>
  <si>
    <t>Arbitrary Generator</t>
  </si>
  <si>
    <t>Coupling Cable (470pF)</t>
  </si>
  <si>
    <t>Coupling Cable (10pF)</t>
  </si>
  <si>
    <t>Breaker Box</t>
  </si>
  <si>
    <t>18-00072A</t>
  </si>
  <si>
    <t>FCC-BCICF-150</t>
  </si>
  <si>
    <t>HCT</t>
    <phoneticPr fontId="8" type="noConversion"/>
  </si>
  <si>
    <t>100KHz ~ 1 000MHz, 120WATT</t>
  </si>
  <si>
    <t>20 ~ 1000MHz, 150W, 40dB</t>
  </si>
  <si>
    <t>8kHz ~ 6GHz; 100pW-200mW; N(m); cable req.</t>
  </si>
  <si>
    <t>50MHz ~ 18GHz; 1nW to 100mW, N(m)</t>
  </si>
  <si>
    <t xml:space="preserve">DC ~110GHz </t>
  </si>
  <si>
    <t>2000 ~ 8000MHz,1000W,Input VSWR1.2:1 max</t>
  </si>
  <si>
    <t>100kHz ~ 108MHz, DC 400V, AC 250V(up to 1kHz)</t>
  </si>
  <si>
    <t>8.3kHz ~ 8GHz, for HFH2-Z6E</t>
  </si>
  <si>
    <t xml:space="preserve">AC 90~250 V / 47 Hz~63 Hz
&gt; DC 12 V to 32 V </t>
  </si>
  <si>
    <t>2-Channel power supply, 0V ~ 32V, max. 10A, Max. 188W</t>
  </si>
  <si>
    <t>10Hz ~ 200kHz</t>
  </si>
  <si>
    <t>10kHz ~ 400MHz</t>
  </si>
  <si>
    <t>1.1 ~ 1.5 GHz, VSMR typical gain at 1m</t>
  </si>
  <si>
    <t>0.1 ~ 30 MHz</t>
  </si>
  <si>
    <t>80 ~ 1700 MHz</t>
  </si>
  <si>
    <t>200 ~ 1300MHz</t>
  </si>
  <si>
    <t>8.3kHz ~ 30MHz</t>
  </si>
  <si>
    <t>0.5 ~ 6GHz, 10 ~ 25dBi(f&gt;0.8 GHz)，300w</t>
  </si>
  <si>
    <t>0.1 ~ 8GHz, 40dB gain</t>
  </si>
  <si>
    <t>2 Hz ~ 8 GHz</t>
  </si>
  <si>
    <t>F-150</t>
  </si>
  <si>
    <t>Programmable Power Supply</t>
  </si>
  <si>
    <t>9kHz ~ 1GHz, 40dB gain</t>
  </si>
  <si>
    <t>8kHz ~ 6GHz</t>
  </si>
  <si>
    <t>SUW-A0120</t>
  </si>
  <si>
    <t>SUW-A0121</t>
  </si>
  <si>
    <t>Termination</t>
  </si>
  <si>
    <t>Termination</t>
    <phoneticPr fontId="8" type="noConversion"/>
  </si>
  <si>
    <t>HCT</t>
    <phoneticPr fontId="8" type="noConversion"/>
  </si>
  <si>
    <t>Kyoritsu</t>
    <phoneticPr fontId="8" type="noConversion"/>
  </si>
  <si>
    <t>300-WT-FN</t>
    <phoneticPr fontId="8" type="noConversion"/>
  </si>
  <si>
    <t>Log-periodic Antenna</t>
    <phoneticPr fontId="8" type="noConversion"/>
  </si>
  <si>
    <t>OHTAMA</t>
    <phoneticPr fontId="8" type="noConversion"/>
  </si>
  <si>
    <t>TBA-623</t>
    <phoneticPr fontId="8" type="noConversion"/>
  </si>
  <si>
    <t>12-20-155</t>
    <phoneticPr fontId="8" type="noConversion"/>
  </si>
  <si>
    <t>300 Watt</t>
    <phoneticPr fontId="8" type="noConversion"/>
  </si>
  <si>
    <t>280MHz ~ 1,000MHz</t>
    <phoneticPr fontId="8" type="noConversion"/>
  </si>
  <si>
    <t>2F-Auto</t>
    <phoneticPr fontId="8" type="noConversion"/>
  </si>
  <si>
    <t>SUW-A0122</t>
  </si>
  <si>
    <t>RTO2014</t>
    <phoneticPr fontId="8" type="noConversion"/>
  </si>
  <si>
    <t>600MHz ~ 6GHz</t>
    <phoneticPr fontId="8" type="noConversion"/>
  </si>
  <si>
    <t>SUW-A0123</t>
    <phoneticPr fontId="8" type="noConversion"/>
  </si>
  <si>
    <t>Multimeter</t>
    <phoneticPr fontId="8" type="noConversion"/>
  </si>
  <si>
    <t>KTICC</t>
    <phoneticPr fontId="8" type="noConversion"/>
  </si>
  <si>
    <t>FLUKE</t>
    <phoneticPr fontId="8" type="noConversion"/>
  </si>
  <si>
    <t>48520410SV</t>
    <phoneticPr fontId="8" type="noConversion"/>
  </si>
  <si>
    <t>AC/DC 600V</t>
    <phoneticPr fontId="8" type="noConversion"/>
  </si>
  <si>
    <t>SUW-A0124</t>
  </si>
  <si>
    <t>30MHz ~ 475MHz, 50Vdc</t>
    <phoneticPr fontId="8" type="noConversion"/>
  </si>
  <si>
    <t>91550-1</t>
    <phoneticPr fontId="8" type="noConversion"/>
  </si>
  <si>
    <t>94111-1</t>
    <phoneticPr fontId="8" type="noConversion"/>
  </si>
  <si>
    <t>00227343</t>
    <phoneticPr fontId="8" type="noConversion"/>
  </si>
  <si>
    <t>00227328</t>
    <phoneticPr fontId="8" type="noConversion"/>
  </si>
  <si>
    <t>INS1896448</t>
    <phoneticPr fontId="8" type="noConversion"/>
  </si>
  <si>
    <t>00861</t>
    <phoneticPr fontId="8" type="noConversion"/>
  </si>
  <si>
    <t>7405-901</t>
    <phoneticPr fontId="8" type="noConversion"/>
  </si>
  <si>
    <t>0353509</t>
    <phoneticPr fontId="8" type="noConversion"/>
  </si>
  <si>
    <t>0353814</t>
    <phoneticPr fontId="8" type="noConversion"/>
  </si>
  <si>
    <t>BDC 0210-40/150</t>
    <phoneticPr fontId="8" type="noConversion"/>
  </si>
  <si>
    <t>00671</t>
    <phoneticPr fontId="8" type="noConversion"/>
  </si>
  <si>
    <t>LSPROBE1.2</t>
    <phoneticPr fontId="8" type="noConversion"/>
  </si>
  <si>
    <t>12-20-148</t>
  </si>
  <si>
    <t>DC ~ 400MHz</t>
  </si>
  <si>
    <t>TEM CELL</t>
  </si>
  <si>
    <t>SUW-A0125</t>
  </si>
  <si>
    <t>SUW-A0126</t>
  </si>
  <si>
    <t>TESTEK</t>
  </si>
  <si>
    <t>3162-01</t>
    <phoneticPr fontId="8" type="noConversion"/>
  </si>
  <si>
    <t>Radar Pulse Antenna</t>
    <phoneticPr fontId="8" type="noConversion"/>
  </si>
  <si>
    <t>Horn Antenna(EMS)</t>
    <phoneticPr fontId="8" type="noConversion"/>
  </si>
  <si>
    <t>SUW-A0127</t>
  </si>
  <si>
    <t>SUW-A0128</t>
  </si>
  <si>
    <t>Attenuator</t>
    <phoneticPr fontId="8" type="noConversion"/>
  </si>
  <si>
    <t>HCT</t>
    <phoneticPr fontId="8" type="noConversion"/>
  </si>
  <si>
    <t>SUW-A0129</t>
  </si>
  <si>
    <t>Fairview Microwave</t>
    <phoneticPr fontId="8" type="noConversion"/>
  </si>
  <si>
    <t>Attenuation 3±0.75dB, DC to 6 GHz, Max Power 5 W</t>
    <phoneticPr fontId="8" type="noConversion"/>
  </si>
  <si>
    <t>2F-Auto</t>
    <phoneticPr fontId="8" type="noConversion"/>
  </si>
  <si>
    <t>SA6N5WA-06</t>
    <phoneticPr fontId="8" type="noConversion"/>
  </si>
  <si>
    <t>Attenuation 6±0.75dB, DC to 6 GHz, Max Power 5 W</t>
    <phoneticPr fontId="8" type="noConversion"/>
  </si>
  <si>
    <t>Measuring Box Antenna</t>
    <phoneticPr fontId="8" type="noConversion"/>
  </si>
  <si>
    <t>G-TEM 750</t>
    <phoneticPr fontId="8" type="noConversion"/>
  </si>
  <si>
    <t>Teseq</t>
    <phoneticPr fontId="8" type="noConversion"/>
  </si>
  <si>
    <t>DC up to 20 GHz</t>
    <phoneticPr fontId="8" type="noConversion"/>
  </si>
  <si>
    <r>
      <rPr>
        <b/>
        <sz val="10"/>
        <color rgb="FFFFFFFF"/>
        <rFont val="맑은 고딕"/>
        <family val="3"/>
        <charset val="129"/>
      </rPr>
      <t>장비담당자</t>
    </r>
    <r>
      <rPr>
        <b/>
        <sz val="10"/>
        <color indexed="9"/>
        <rFont val="Arial"/>
        <family val="2"/>
      </rPr>
      <t xml:space="preserve">
(</t>
    </r>
    <r>
      <rPr>
        <b/>
        <sz val="10"/>
        <color rgb="FFFFFFFF"/>
        <rFont val="맑은 고딕"/>
        <family val="2"/>
        <charset val="129"/>
      </rPr>
      <t>정)</t>
    </r>
    <phoneticPr fontId="8" type="noConversion"/>
  </si>
  <si>
    <r>
      <rPr>
        <b/>
        <sz val="10"/>
        <color rgb="FFFFFFFF"/>
        <rFont val="맑은 고딕"/>
        <family val="3"/>
        <charset val="129"/>
      </rPr>
      <t>장비담당자</t>
    </r>
    <r>
      <rPr>
        <b/>
        <sz val="10"/>
        <color indexed="9"/>
        <rFont val="Arial"/>
        <family val="2"/>
      </rPr>
      <t xml:space="preserve">
(</t>
    </r>
    <r>
      <rPr>
        <b/>
        <sz val="10"/>
        <color rgb="FFFFFFFF"/>
        <rFont val="돋움"/>
        <family val="2"/>
        <charset val="129"/>
      </rPr>
      <t>부</t>
    </r>
    <r>
      <rPr>
        <b/>
        <sz val="10"/>
        <color rgb="FFFFFFFF"/>
        <rFont val="맑은 고딕"/>
        <family val="2"/>
        <charset val="129"/>
      </rPr>
      <t>)</t>
    </r>
    <phoneticPr fontId="8" type="noConversion"/>
  </si>
  <si>
    <t>박경태</t>
    <phoneticPr fontId="8" type="noConversion"/>
  </si>
  <si>
    <t>이원희</t>
    <phoneticPr fontId="8" type="noConversion"/>
  </si>
  <si>
    <t>ESD Simulator</t>
    <phoneticPr fontId="8" type="noConversion"/>
  </si>
  <si>
    <t>HCT</t>
    <phoneticPr fontId="8" type="noConversion"/>
  </si>
  <si>
    <t>Teseq</t>
    <phoneticPr fontId="8" type="noConversion"/>
  </si>
  <si>
    <t>NSG 438</t>
    <phoneticPr fontId="8" type="noConversion"/>
  </si>
  <si>
    <r>
      <t xml:space="preserve">up to 30kV, (150 / 330) pF, (330 / 2k) </t>
    </r>
    <r>
      <rPr>
        <sz val="10"/>
        <rFont val="맑은 고딕"/>
        <family val="3"/>
        <charset val="129"/>
      </rPr>
      <t>Ω</t>
    </r>
    <r>
      <rPr>
        <sz val="10"/>
        <rFont val="Arial"/>
        <family val="2"/>
      </rPr>
      <t xml:space="preserve"> </t>
    </r>
    <phoneticPr fontId="8" type="noConversion"/>
  </si>
  <si>
    <t>SUW-A0131</t>
    <phoneticPr fontId="8" type="noConversion"/>
  </si>
  <si>
    <t>Oscilloscope</t>
  </si>
  <si>
    <t>SUW-A0059</t>
    <phoneticPr fontId="8" type="noConversion"/>
  </si>
  <si>
    <t>EMCtools</t>
    <phoneticPr fontId="8" type="noConversion"/>
  </si>
  <si>
    <t>SUW-A0132</t>
  </si>
  <si>
    <t>Analog Optical Converter</t>
    <phoneticPr fontId="8" type="noConversion"/>
  </si>
  <si>
    <t>MK</t>
    <phoneticPr fontId="8" type="noConversion"/>
  </si>
  <si>
    <t>U2/12</t>
  </si>
  <si>
    <t>21-026356-1 / 21-026356-2</t>
    <phoneticPr fontId="8" type="noConversion"/>
  </si>
  <si>
    <t>2 channel analog, 1M</t>
    <phoneticPr fontId="8" type="noConversion"/>
  </si>
  <si>
    <t>2F-Auto</t>
    <phoneticPr fontId="8" type="noConversion"/>
  </si>
  <si>
    <t>SCU01F</t>
  </si>
  <si>
    <t>DC7205A</t>
    <phoneticPr fontId="8" type="noConversion"/>
  </si>
  <si>
    <t>0.7 ~ 6GHz,250W CW,40dB,50ohm</t>
    <phoneticPr fontId="8" type="noConversion"/>
  </si>
  <si>
    <t>SUW-A0133</t>
  </si>
  <si>
    <t>Field Coupling Plane</t>
    <phoneticPr fontId="8" type="noConversion"/>
  </si>
  <si>
    <t>ERETEC</t>
    <phoneticPr fontId="8" type="noConversion"/>
  </si>
  <si>
    <t xml:space="preserve">Size : 300 x 350 </t>
    <phoneticPr fontId="8" type="noConversion"/>
  </si>
  <si>
    <t>2F-Auto</t>
    <phoneticPr fontId="8" type="noConversion"/>
  </si>
  <si>
    <t>SUW-A0047</t>
    <phoneticPr fontId="8" type="noConversion"/>
  </si>
  <si>
    <t>P1647187619</t>
    <phoneticPr fontId="8" type="noConversion"/>
  </si>
  <si>
    <t>RESISTOR BOX</t>
    <phoneticPr fontId="8" type="noConversion"/>
  </si>
  <si>
    <t>SA6N5WA-03</t>
  </si>
  <si>
    <t>Fairview Microwave</t>
  </si>
  <si>
    <t>AJ.84535</t>
  </si>
  <si>
    <t>SUW-A0134</t>
    <phoneticPr fontId="8" type="noConversion"/>
  </si>
  <si>
    <t>SUW-A0135</t>
    <phoneticPr fontId="8" type="noConversion"/>
  </si>
  <si>
    <t>SUW-A0136</t>
    <phoneticPr fontId="8" type="noConversion"/>
  </si>
  <si>
    <t>SUW-A0137</t>
    <phoneticPr fontId="8" type="noConversion"/>
  </si>
  <si>
    <t>SUW-A0138</t>
    <phoneticPr fontId="8" type="noConversion"/>
  </si>
  <si>
    <t>OSP220</t>
    <phoneticPr fontId="8" type="noConversion"/>
  </si>
  <si>
    <t>Rohde &amp; Schwarz</t>
    <phoneticPr fontId="8" type="noConversion"/>
  </si>
  <si>
    <t>OSP220</t>
    <phoneticPr fontId="8" type="noConversion"/>
  </si>
  <si>
    <t>Size : 444.7 mm × 107.6 mm × 471.9 mm</t>
    <phoneticPr fontId="8" type="noConversion"/>
  </si>
  <si>
    <t>mk-messtechnik Gmb</t>
    <phoneticPr fontId="8" type="noConversion"/>
  </si>
  <si>
    <t>88Q2112</t>
    <phoneticPr fontId="8" type="noConversion"/>
  </si>
  <si>
    <t>Biconical Antenna</t>
    <phoneticPr fontId="8" type="noConversion"/>
  </si>
  <si>
    <t>TDK RF Solutions</t>
    <phoneticPr fontId="8" type="noConversion"/>
  </si>
  <si>
    <t>HBA-2030</t>
    <phoneticPr fontId="8" type="noConversion"/>
  </si>
  <si>
    <t xml:space="preserve">20 MHz ~ 300 MHz </t>
    <phoneticPr fontId="8" type="noConversion"/>
  </si>
  <si>
    <t>Small biconical microwave Antenna</t>
    <phoneticPr fontId="8" type="noConversion"/>
  </si>
  <si>
    <t>1 GHz ~ 6 GHz, 20 W</t>
    <phoneticPr fontId="8" type="noConversion"/>
  </si>
  <si>
    <t>Schwarzbeck</t>
    <phoneticPr fontId="8" type="noConversion"/>
  </si>
  <si>
    <t>SBA 9119</t>
    <phoneticPr fontId="8" type="noConversion"/>
  </si>
  <si>
    <t>00644</t>
    <phoneticPr fontId="8" type="noConversion"/>
  </si>
  <si>
    <t>Field Monitoring Coil</t>
    <phoneticPr fontId="8" type="noConversion"/>
  </si>
  <si>
    <t>FESP 5133-7/41</t>
    <phoneticPr fontId="8" type="noConversion"/>
  </si>
  <si>
    <t>0.01 kHz - 250 kHz</t>
    <phoneticPr fontId="8" type="noConversion"/>
  </si>
  <si>
    <t>1000Base-T1 / 100Base-T1, SET</t>
    <phoneticPr fontId="8" type="noConversion"/>
  </si>
  <si>
    <t>SUW-A0139</t>
    <phoneticPr fontId="8" type="noConversion"/>
  </si>
  <si>
    <t>Folded Dipole Antennas SET</t>
    <phoneticPr fontId="8" type="noConversion"/>
  </si>
  <si>
    <t>IMDA Set</t>
    <phoneticPr fontId="8" type="noConversion"/>
  </si>
  <si>
    <t>IMDA Set-DD0822016_2</t>
    <phoneticPr fontId="8" type="noConversion"/>
  </si>
  <si>
    <t>146,156,165,174,222MHz</t>
    <phoneticPr fontId="8" type="noConversion"/>
  </si>
  <si>
    <t>22-030968 / 22-030969, 22-031201</t>
    <phoneticPr fontId="8" type="noConversion"/>
  </si>
  <si>
    <t>Ethernet Optic Converter SET</t>
    <phoneticPr fontId="8" type="noConversion"/>
  </si>
  <si>
    <t>00522</t>
    <phoneticPr fontId="8" type="noConversion"/>
  </si>
  <si>
    <t>IVIEW</t>
    <phoneticPr fontId="8" type="noConversion"/>
  </si>
  <si>
    <t>Kyoritsu</t>
    <phoneticPr fontId="8" type="noConversion"/>
  </si>
  <si>
    <t>TTC-502</t>
    <phoneticPr fontId="8" type="noConversion"/>
  </si>
  <si>
    <t>10kHz ~ 400MHz, 40mm</t>
    <phoneticPr fontId="8" type="noConversion"/>
  </si>
  <si>
    <t>F-130A-1</t>
    <phoneticPr fontId="8" type="noConversion"/>
  </si>
  <si>
    <t>100 kHz ~ 1 GHz,40 mm, 100 W</t>
    <phoneticPr fontId="8" type="noConversion"/>
  </si>
  <si>
    <t>F-140</t>
    <phoneticPr fontId="8" type="noConversion"/>
  </si>
  <si>
    <t>800 MHz ~ 2.1 GHz,VSWR: &lt;3:1</t>
    <phoneticPr fontId="8" type="noConversion"/>
  </si>
  <si>
    <t>ESH3-Z6</t>
    <phoneticPr fontId="8" type="noConversion"/>
  </si>
  <si>
    <t>Rohde &amp; Schwarz</t>
    <phoneticPr fontId="8" type="noConversion"/>
  </si>
  <si>
    <t xml:space="preserve"> 10 kHz ~ 100 MHz,31.75mm</t>
    <phoneticPr fontId="8" type="noConversion"/>
  </si>
  <si>
    <t>ETS-Lindgren</t>
    <phoneticPr fontId="8" type="noConversion"/>
  </si>
  <si>
    <t>1MHz ~ 1GHz,31.75mm</t>
    <phoneticPr fontId="8" type="noConversion"/>
  </si>
  <si>
    <t>F-52B</t>
    <phoneticPr fontId="8" type="noConversion"/>
  </si>
  <si>
    <t>F-2000-32MM-1</t>
    <phoneticPr fontId="8" type="noConversion"/>
  </si>
  <si>
    <t>10M ~ 2.1GHz,32mm-1, 250Amax</t>
    <phoneticPr fontId="8" type="noConversion"/>
  </si>
  <si>
    <t>F-10A</t>
    <phoneticPr fontId="8" type="noConversion"/>
  </si>
  <si>
    <t>DC-400V, Measure Curren on 50,60,400Hz</t>
    <phoneticPr fontId="8" type="noConversion"/>
  </si>
  <si>
    <t>10 kHz ~ 400 MHz</t>
    <phoneticPr fontId="8" type="noConversion"/>
  </si>
  <si>
    <t>Pre-Amplifier</t>
    <phoneticPr fontId="8" type="noConversion"/>
  </si>
  <si>
    <t>HCT</t>
    <phoneticPr fontId="8" type="noConversion"/>
  </si>
  <si>
    <t>EXYNOD</t>
    <phoneticPr fontId="8" type="noConversion"/>
  </si>
  <si>
    <t>ELENA01-45D</t>
    <phoneticPr fontId="8" type="noConversion"/>
  </si>
  <si>
    <t>9kHz ~ 1GHz, 45dB gain</t>
    <phoneticPr fontId="8" type="noConversion"/>
  </si>
  <si>
    <t>ESW8</t>
    <phoneticPr fontId="8" type="noConversion"/>
  </si>
  <si>
    <t>SUW-A0140</t>
    <phoneticPr fontId="8" type="noConversion"/>
  </si>
  <si>
    <t>N/A</t>
    <phoneticPr fontId="8" type="noConversion"/>
  </si>
  <si>
    <t>외부교정</t>
  </si>
  <si>
    <t>비대상</t>
  </si>
  <si>
    <t>관리방법</t>
    <phoneticPr fontId="8" type="noConversion"/>
  </si>
  <si>
    <t>중간점검 대상
(O/X)</t>
    <phoneticPr fontId="8" type="noConversion"/>
  </si>
  <si>
    <t>X</t>
    <phoneticPr fontId="8" type="noConversion"/>
  </si>
  <si>
    <t>소속팀</t>
    <phoneticPr fontId="8" type="noConversion"/>
  </si>
  <si>
    <t>Automotive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</si>
</sst>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name val="a"/>
    </font>
    <font>
      <sz val="10"/>
      <color theme="1"/>
      <name val="Arial"/>
      <family val="3"/>
      <charset val="129"/>
    </font>
    <font>
      <sz val="10"/>
      <name val="Arial"/>
      <family val="3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indexed="9"/>
      <name val="Arial"/>
      <family val="3"/>
      <charset val="129"/>
    </font>
    <font>
      <b/>
      <sz val="10"/>
      <color rgb="FFFFFFFF"/>
      <name val="돋움"/>
      <family val="2"/>
      <charset val="129"/>
    </font>
    <font>
      <sz val="10"/>
      <color theme="1"/>
      <name val="돋움"/>
      <family val="2"/>
      <charset val="129"/>
    </font>
    <font>
      <b/>
      <sz val="11"/>
      <color rgb="FFFFFFFF"/>
      <name val="돋움"/>
      <family val="2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9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quotePrefix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10" applyFont="1" applyBorder="1" applyAlignment="1">
      <alignment horizontal="center" vertical="center"/>
    </xf>
    <xf numFmtId="0" fontId="2" fillId="4" borderId="1" xfId="1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5" fillId="0" borderId="1" xfId="3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13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shrinkToFit="1"/>
    </xf>
    <xf numFmtId="0" fontId="5" fillId="5" borderId="1" xfId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4" borderId="1" xfId="2" quotePrefix="1" applyFont="1" applyFill="1" applyBorder="1" applyAlignment="1">
      <alignment horizontal="center" vertical="center"/>
    </xf>
    <xf numFmtId="14" fontId="5" fillId="4" borderId="1" xfId="2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2" fillId="0" borderId="1" xfId="3" quotePrefix="1" applyFont="1" applyBorder="1" applyAlignment="1">
      <alignment horizontal="center" vertical="center"/>
    </xf>
    <xf numFmtId="0" fontId="7" fillId="4" borderId="1" xfId="13" applyFill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11" fillId="4" borderId="1" xfId="1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/>
    </xf>
    <xf numFmtId="0" fontId="11" fillId="4" borderId="1" xfId="13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1" xfId="14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14" applyFont="1" applyBorder="1" applyAlignment="1">
      <alignment horizontal="center" vertical="center"/>
    </xf>
    <xf numFmtId="0" fontId="0" fillId="0" borderId="1" xfId="14" applyFont="1" applyBorder="1" applyAlignment="1">
      <alignment horizontal="center" vertical="center"/>
    </xf>
    <xf numFmtId="0" fontId="11" fillId="0" borderId="1" xfId="14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4" fontId="5" fillId="4" borderId="1" xfId="1" quotePrefix="1" applyNumberFormat="1" applyFont="1" applyFill="1" applyBorder="1" applyAlignment="1">
      <alignment horizontal="center" vertical="center"/>
    </xf>
    <xf numFmtId="14" fontId="5" fillId="4" borderId="1" xfId="0" quotePrefix="1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shrinkToFit="1"/>
    </xf>
    <xf numFmtId="0" fontId="17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</cellXfs>
  <cellStyles count="15">
    <cellStyle name="표준" xfId="0" builtinId="0"/>
    <cellStyle name="표준 10" xfId="9" xr:uid="{00000000-0005-0000-0000-000001000000}"/>
    <cellStyle name="표준 11" xfId="10" xr:uid="{00000000-0005-0000-0000-000002000000}"/>
    <cellStyle name="표준 12" xfId="11" xr:uid="{00000000-0005-0000-0000-000003000000}"/>
    <cellStyle name="표준 13" xfId="12" xr:uid="{00000000-0005-0000-0000-000004000000}"/>
    <cellStyle name="표준 14" xfId="13" xr:uid="{00000000-0005-0000-0000-000005000000}"/>
    <cellStyle name="표준 15" xfId="14" xr:uid="{00000000-0005-0000-0000-000006000000}"/>
    <cellStyle name="표준 2" xfId="6" xr:uid="{00000000-0005-0000-0000-000007000000}"/>
    <cellStyle name="표준 3" xfId="1" xr:uid="{00000000-0005-0000-0000-000008000000}"/>
    <cellStyle name="표준 4" xfId="2" xr:uid="{00000000-0005-0000-0000-000009000000}"/>
    <cellStyle name="표준 5" xfId="3" xr:uid="{00000000-0005-0000-0000-00000A000000}"/>
    <cellStyle name="표준 6" xfId="4" xr:uid="{00000000-0005-0000-0000-00000B000000}"/>
    <cellStyle name="표준 7" xfId="5" xr:uid="{00000000-0005-0000-0000-00000C000000}"/>
    <cellStyle name="표준 8" xfId="7" xr:uid="{00000000-0005-0000-0000-00000D000000}"/>
    <cellStyle name="표준 9" xfId="8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1"/>
  <sheetViews>
    <sheetView tabSelected="1" topLeftCell="A64" zoomScale="85" zoomScaleNormal="85" zoomScaleSheetLayoutView="55" workbookViewId="0">
      <selection activeCell="E70" sqref="E70"/>
    </sheetView>
  </sheetViews>
  <sheetFormatPr defaultColWidth="9.19921875" defaultRowHeight="25.05" customHeight="1"/>
  <cols>
    <col min="1" max="1" width="19.19921875" style="7" customWidth="1"/>
    <col min="2" max="2" width="39.3984375" style="7" customWidth="1"/>
    <col min="3" max="3" width="17.19921875" style="7" customWidth="1"/>
    <col min="4" max="5" width="19.5" style="7" customWidth="1"/>
    <col min="6" max="6" width="18.5" style="7" customWidth="1"/>
    <col min="7" max="7" width="13.19921875" style="7" customWidth="1"/>
    <col min="8" max="8" width="17" style="7" customWidth="1"/>
    <col min="9" max="9" width="24.5" style="7" customWidth="1"/>
    <col min="10" max="10" width="21.5" style="7" customWidth="1"/>
    <col min="11" max="11" width="41.3984375" style="7" customWidth="1"/>
    <col min="12" max="12" width="13.19921875" style="7" customWidth="1"/>
    <col min="13" max="13" width="14.796875" style="7" customWidth="1"/>
    <col min="14" max="14" width="14.69921875" style="90" bestFit="1" customWidth="1"/>
    <col min="15" max="15" width="12.3984375" style="7" customWidth="1"/>
    <col min="16" max="16" width="10.3984375" style="7" bestFit="1" customWidth="1"/>
    <col min="17" max="16384" width="9.19921875" style="7"/>
  </cols>
  <sheetData>
    <row r="1" spans="1:16" s="33" customFormat="1" ht="18" thickBo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86"/>
      <c r="N1" s="87"/>
      <c r="O1" s="73"/>
      <c r="P1" s="73"/>
    </row>
    <row r="2" spans="1:16" s="33" customFormat="1" ht="31.2">
      <c r="A2" s="36" t="s">
        <v>185</v>
      </c>
      <c r="B2" s="36" t="s">
        <v>181</v>
      </c>
      <c r="C2" s="36" t="s">
        <v>188</v>
      </c>
      <c r="D2" s="91" t="s">
        <v>761</v>
      </c>
      <c r="E2" s="36" t="s">
        <v>192</v>
      </c>
      <c r="F2" s="36" t="s">
        <v>208</v>
      </c>
      <c r="G2" s="36" t="s">
        <v>207</v>
      </c>
      <c r="H2" s="36" t="s">
        <v>182</v>
      </c>
      <c r="I2" s="36" t="s">
        <v>183</v>
      </c>
      <c r="J2" s="36" t="s">
        <v>184</v>
      </c>
      <c r="K2" s="36" t="s">
        <v>190</v>
      </c>
      <c r="L2" s="36" t="s">
        <v>204</v>
      </c>
      <c r="M2" s="86" t="s">
        <v>758</v>
      </c>
      <c r="N2" s="88" t="s">
        <v>759</v>
      </c>
      <c r="O2" s="73" t="s">
        <v>663</v>
      </c>
      <c r="P2" s="73" t="s">
        <v>664</v>
      </c>
    </row>
    <row r="3" spans="1:16" ht="25.05" customHeight="1">
      <c r="A3" s="47" t="s">
        <v>209</v>
      </c>
      <c r="B3" s="34" t="s">
        <v>9</v>
      </c>
      <c r="C3" s="20">
        <f>DATE(2023,7,27)</f>
        <v>45134</v>
      </c>
      <c r="D3" s="16" t="s">
        <v>762</v>
      </c>
      <c r="E3" s="16">
        <v>12</v>
      </c>
      <c r="F3" s="20">
        <f>EDATE(C3,12)</f>
        <v>45500</v>
      </c>
      <c r="G3" s="41" t="s">
        <v>1</v>
      </c>
      <c r="H3" s="22" t="s">
        <v>10</v>
      </c>
      <c r="I3" s="22" t="s">
        <v>11</v>
      </c>
      <c r="J3" s="22" t="s">
        <v>446</v>
      </c>
      <c r="K3" s="22" t="s">
        <v>349</v>
      </c>
      <c r="L3" s="42" t="s">
        <v>445</v>
      </c>
      <c r="M3" s="43" t="s">
        <v>756</v>
      </c>
      <c r="N3" s="89" t="s">
        <v>760</v>
      </c>
      <c r="O3" s="74" t="s">
        <v>665</v>
      </c>
      <c r="P3" s="74" t="s">
        <v>666</v>
      </c>
    </row>
    <row r="4" spans="1:16" ht="25.05" customHeight="1">
      <c r="A4" s="47" t="s">
        <v>210</v>
      </c>
      <c r="B4" s="45" t="s">
        <v>350</v>
      </c>
      <c r="C4" s="20">
        <f>DATE(2023,7,24)</f>
        <v>45131</v>
      </c>
      <c r="D4" s="16" t="s">
        <v>762</v>
      </c>
      <c r="E4" s="23">
        <v>12</v>
      </c>
      <c r="F4" s="20">
        <f>EDATE(C4,12)</f>
        <v>45497</v>
      </c>
      <c r="G4" s="16" t="s">
        <v>1</v>
      </c>
      <c r="H4" s="34" t="s">
        <v>344</v>
      </c>
      <c r="I4" s="34" t="s">
        <v>753</v>
      </c>
      <c r="J4" s="23">
        <v>101332</v>
      </c>
      <c r="K4" s="23" t="s">
        <v>598</v>
      </c>
      <c r="L4" s="42" t="s">
        <v>445</v>
      </c>
      <c r="M4" s="38" t="s">
        <v>756</v>
      </c>
      <c r="N4" s="89" t="s">
        <v>760</v>
      </c>
      <c r="O4" s="74" t="s">
        <v>665</v>
      </c>
      <c r="P4" s="74" t="s">
        <v>666</v>
      </c>
    </row>
    <row r="5" spans="1:16" s="85" customFormat="1" ht="25.05" customHeight="1">
      <c r="A5" s="47" t="s">
        <v>211</v>
      </c>
      <c r="B5" s="45" t="s">
        <v>351</v>
      </c>
      <c r="C5" s="20">
        <f>DATE(2023,4,27)</f>
        <v>45043</v>
      </c>
      <c r="D5" s="16" t="s">
        <v>762</v>
      </c>
      <c r="E5" s="23">
        <v>12</v>
      </c>
      <c r="F5" s="20">
        <f t="shared" ref="F5:F16" si="0">EDATE(C5,12)</f>
        <v>45409</v>
      </c>
      <c r="G5" s="23" t="s">
        <v>1</v>
      </c>
      <c r="H5" s="45" t="s">
        <v>344</v>
      </c>
      <c r="I5" s="45" t="s">
        <v>683</v>
      </c>
      <c r="J5" s="23" t="s">
        <v>496</v>
      </c>
      <c r="K5" s="23" t="s">
        <v>601</v>
      </c>
      <c r="L5" s="19" t="s">
        <v>445</v>
      </c>
      <c r="M5" s="38" t="s">
        <v>756</v>
      </c>
      <c r="N5" s="89" t="s">
        <v>760</v>
      </c>
      <c r="O5" s="84" t="s">
        <v>665</v>
      </c>
      <c r="P5" s="84" t="s">
        <v>666</v>
      </c>
    </row>
    <row r="6" spans="1:16" ht="25.05" customHeight="1">
      <c r="A6" s="47" t="s">
        <v>212</v>
      </c>
      <c r="B6" s="45" t="s">
        <v>351</v>
      </c>
      <c r="C6" s="20">
        <f>DATE(2023,7,25)</f>
        <v>45132</v>
      </c>
      <c r="D6" s="16" t="s">
        <v>762</v>
      </c>
      <c r="E6" s="23">
        <v>12</v>
      </c>
      <c r="F6" s="20">
        <f t="shared" si="0"/>
        <v>45498</v>
      </c>
      <c r="G6" s="16" t="s">
        <v>1</v>
      </c>
      <c r="H6" s="34" t="s">
        <v>738</v>
      </c>
      <c r="I6" s="34" t="s">
        <v>551</v>
      </c>
      <c r="J6" s="23">
        <v>100756</v>
      </c>
      <c r="K6" s="23" t="s">
        <v>597</v>
      </c>
      <c r="L6" s="42" t="s">
        <v>445</v>
      </c>
      <c r="M6" s="38" t="s">
        <v>756</v>
      </c>
      <c r="N6" s="89" t="s">
        <v>760</v>
      </c>
      <c r="O6" s="74" t="s">
        <v>665</v>
      </c>
      <c r="P6" s="74" t="s">
        <v>666</v>
      </c>
    </row>
    <row r="7" spans="1:16" ht="25.05" customHeight="1">
      <c r="A7" s="47" t="s">
        <v>213</v>
      </c>
      <c r="B7" s="45" t="s">
        <v>540</v>
      </c>
      <c r="C7" s="20">
        <f>DATE(2023,7,27)</f>
        <v>45134</v>
      </c>
      <c r="D7" s="16" t="s">
        <v>762</v>
      </c>
      <c r="E7" s="23">
        <v>12</v>
      </c>
      <c r="F7" s="20">
        <f t="shared" si="0"/>
        <v>45500</v>
      </c>
      <c r="G7" s="16" t="s">
        <v>1</v>
      </c>
      <c r="H7" s="34" t="s">
        <v>740</v>
      </c>
      <c r="I7" s="34" t="s">
        <v>628</v>
      </c>
      <c r="J7" s="27" t="s">
        <v>630</v>
      </c>
      <c r="K7" s="23" t="s">
        <v>739</v>
      </c>
      <c r="L7" s="42" t="s">
        <v>445</v>
      </c>
      <c r="M7" s="38" t="s">
        <v>756</v>
      </c>
      <c r="N7" s="89" t="s">
        <v>760</v>
      </c>
      <c r="O7" s="74" t="s">
        <v>665</v>
      </c>
      <c r="P7" s="74" t="s">
        <v>666</v>
      </c>
    </row>
    <row r="8" spans="1:16" ht="25.05" customHeight="1">
      <c r="A8" s="47" t="s">
        <v>214</v>
      </c>
      <c r="B8" s="45" t="s">
        <v>540</v>
      </c>
      <c r="C8" s="20">
        <f>DATE(2023,7,27)</f>
        <v>45134</v>
      </c>
      <c r="D8" s="16" t="s">
        <v>762</v>
      </c>
      <c r="E8" s="23">
        <v>12</v>
      </c>
      <c r="F8" s="20">
        <f t="shared" si="0"/>
        <v>45500</v>
      </c>
      <c r="G8" s="16" t="s">
        <v>1</v>
      </c>
      <c r="H8" s="34" t="s">
        <v>740</v>
      </c>
      <c r="I8" s="34" t="s">
        <v>629</v>
      </c>
      <c r="J8" s="27" t="s">
        <v>631</v>
      </c>
      <c r="K8" s="23" t="s">
        <v>741</v>
      </c>
      <c r="L8" s="42" t="s">
        <v>445</v>
      </c>
      <c r="M8" s="38" t="s">
        <v>756</v>
      </c>
      <c r="N8" s="89" t="s">
        <v>760</v>
      </c>
      <c r="O8" s="74" t="s">
        <v>665</v>
      </c>
      <c r="P8" s="74" t="s">
        <v>666</v>
      </c>
    </row>
    <row r="9" spans="1:16" ht="25.05" customHeight="1">
      <c r="A9" s="47" t="s">
        <v>215</v>
      </c>
      <c r="B9" s="45" t="s">
        <v>540</v>
      </c>
      <c r="C9" s="20">
        <f>DATE(2023,7,27)</f>
        <v>45134</v>
      </c>
      <c r="D9" s="16" t="s">
        <v>762</v>
      </c>
      <c r="E9" s="19">
        <v>12</v>
      </c>
      <c r="F9" s="20">
        <f t="shared" si="0"/>
        <v>45500</v>
      </c>
      <c r="G9" s="16" t="s">
        <v>1</v>
      </c>
      <c r="H9" s="19" t="s">
        <v>339</v>
      </c>
      <c r="I9" s="19" t="s">
        <v>742</v>
      </c>
      <c r="J9" s="19">
        <v>194036</v>
      </c>
      <c r="K9" s="21" t="s">
        <v>747</v>
      </c>
      <c r="L9" s="42" t="s">
        <v>445</v>
      </c>
      <c r="M9" s="38" t="s">
        <v>756</v>
      </c>
      <c r="N9" s="89" t="s">
        <v>760</v>
      </c>
      <c r="O9" s="74" t="s">
        <v>665</v>
      </c>
      <c r="P9" s="74" t="s">
        <v>666</v>
      </c>
    </row>
    <row r="10" spans="1:16" ht="25.05" customHeight="1">
      <c r="A10" s="47" t="s">
        <v>216</v>
      </c>
      <c r="B10" s="45" t="s">
        <v>540</v>
      </c>
      <c r="C10" s="20">
        <f>DATE(2023,7,27)</f>
        <v>45134</v>
      </c>
      <c r="D10" s="16" t="s">
        <v>762</v>
      </c>
      <c r="E10" s="19">
        <v>12</v>
      </c>
      <c r="F10" s="20">
        <f t="shared" si="0"/>
        <v>45500</v>
      </c>
      <c r="G10" s="16" t="s">
        <v>1</v>
      </c>
      <c r="H10" s="19" t="s">
        <v>339</v>
      </c>
      <c r="I10" s="19" t="s">
        <v>743</v>
      </c>
      <c r="J10" s="19">
        <v>193469</v>
      </c>
      <c r="K10" s="21" t="s">
        <v>744</v>
      </c>
      <c r="L10" s="42" t="s">
        <v>445</v>
      </c>
      <c r="M10" s="38" t="s">
        <v>756</v>
      </c>
      <c r="N10" s="89" t="s">
        <v>760</v>
      </c>
      <c r="O10" s="74" t="s">
        <v>665</v>
      </c>
      <c r="P10" s="74" t="s">
        <v>666</v>
      </c>
    </row>
    <row r="11" spans="1:16" ht="25.05" customHeight="1">
      <c r="A11" s="47" t="s">
        <v>217</v>
      </c>
      <c r="B11" s="45" t="s">
        <v>540</v>
      </c>
      <c r="C11" s="20">
        <f>DATE(2023,7,27)</f>
        <v>45134</v>
      </c>
      <c r="D11" s="16" t="s">
        <v>762</v>
      </c>
      <c r="E11" s="19">
        <v>12</v>
      </c>
      <c r="F11" s="20">
        <f t="shared" si="0"/>
        <v>45500</v>
      </c>
      <c r="G11" s="16" t="s">
        <v>1</v>
      </c>
      <c r="H11" s="19" t="s">
        <v>339</v>
      </c>
      <c r="I11" s="19" t="s">
        <v>745</v>
      </c>
      <c r="J11" s="19">
        <v>193470</v>
      </c>
      <c r="K11" s="21" t="s">
        <v>746</v>
      </c>
      <c r="L11" s="42" t="s">
        <v>445</v>
      </c>
      <c r="M11" s="38" t="s">
        <v>756</v>
      </c>
      <c r="N11" s="89" t="s">
        <v>760</v>
      </c>
      <c r="O11" s="74" t="s">
        <v>665</v>
      </c>
      <c r="P11" s="74" t="s">
        <v>666</v>
      </c>
    </row>
    <row r="12" spans="1:16" ht="25.05" customHeight="1">
      <c r="A12" s="47" t="s">
        <v>218</v>
      </c>
      <c r="B12" s="45" t="s">
        <v>345</v>
      </c>
      <c r="C12" s="20">
        <f>DATE(2023,7,25)</f>
        <v>45132</v>
      </c>
      <c r="D12" s="16" t="s">
        <v>762</v>
      </c>
      <c r="E12" s="23">
        <v>12</v>
      </c>
      <c r="F12" s="20">
        <f t="shared" si="0"/>
        <v>45498</v>
      </c>
      <c r="G12" s="16" t="s">
        <v>1</v>
      </c>
      <c r="H12" s="34" t="s">
        <v>738</v>
      </c>
      <c r="I12" s="34" t="s">
        <v>737</v>
      </c>
      <c r="J12" s="23">
        <v>102167</v>
      </c>
      <c r="K12" s="23" t="s">
        <v>467</v>
      </c>
      <c r="L12" s="42" t="s">
        <v>445</v>
      </c>
      <c r="M12" s="38" t="s">
        <v>756</v>
      </c>
      <c r="N12" s="89" t="s">
        <v>760</v>
      </c>
      <c r="O12" s="74" t="s">
        <v>665</v>
      </c>
      <c r="P12" s="74" t="s">
        <v>666</v>
      </c>
    </row>
    <row r="13" spans="1:16" ht="25.05" customHeight="1">
      <c r="A13" s="47" t="s">
        <v>219</v>
      </c>
      <c r="B13" s="45" t="s">
        <v>606</v>
      </c>
      <c r="C13" s="20">
        <f>DATE(2023,7,25)</f>
        <v>45132</v>
      </c>
      <c r="D13" s="16" t="s">
        <v>762</v>
      </c>
      <c r="E13" s="23">
        <v>12</v>
      </c>
      <c r="F13" s="20">
        <f t="shared" si="0"/>
        <v>45498</v>
      </c>
      <c r="G13" s="16" t="s">
        <v>1</v>
      </c>
      <c r="H13" s="34" t="s">
        <v>348</v>
      </c>
      <c r="I13" s="34" t="s">
        <v>347</v>
      </c>
      <c r="J13" s="27">
        <v>2016</v>
      </c>
      <c r="K13" s="23" t="s">
        <v>447</v>
      </c>
      <c r="L13" s="42" t="s">
        <v>445</v>
      </c>
      <c r="M13" s="38" t="s">
        <v>756</v>
      </c>
      <c r="N13" s="89" t="s">
        <v>760</v>
      </c>
      <c r="O13" s="74" t="s">
        <v>665</v>
      </c>
      <c r="P13" s="74" t="s">
        <v>666</v>
      </c>
    </row>
    <row r="14" spans="1:16" ht="25.05" customHeight="1">
      <c r="A14" s="47" t="s">
        <v>220</v>
      </c>
      <c r="B14" s="45" t="s">
        <v>345</v>
      </c>
      <c r="C14" s="20">
        <f>DATE(2023,7,25)</f>
        <v>45132</v>
      </c>
      <c r="D14" s="16" t="s">
        <v>762</v>
      </c>
      <c r="E14" s="23">
        <v>12</v>
      </c>
      <c r="F14" s="20">
        <f t="shared" si="0"/>
        <v>45498</v>
      </c>
      <c r="G14" s="16" t="s">
        <v>1</v>
      </c>
      <c r="H14" s="34" t="s">
        <v>344</v>
      </c>
      <c r="I14" s="34" t="s">
        <v>346</v>
      </c>
      <c r="J14" s="23">
        <v>102168</v>
      </c>
      <c r="K14" s="23" t="s">
        <v>467</v>
      </c>
      <c r="L14" s="42" t="s">
        <v>445</v>
      </c>
      <c r="M14" s="38" t="s">
        <v>756</v>
      </c>
      <c r="N14" s="89" t="s">
        <v>760</v>
      </c>
      <c r="O14" s="74" t="s">
        <v>665</v>
      </c>
      <c r="P14" s="74" t="s">
        <v>666</v>
      </c>
    </row>
    <row r="15" spans="1:16" ht="25.05" customHeight="1">
      <c r="A15" s="47" t="s">
        <v>221</v>
      </c>
      <c r="B15" s="45" t="s">
        <v>605</v>
      </c>
      <c r="C15" s="20">
        <f>DATE(2023,7,25)</f>
        <v>45132</v>
      </c>
      <c r="D15" s="16" t="s">
        <v>762</v>
      </c>
      <c r="E15" s="23">
        <v>12</v>
      </c>
      <c r="F15" s="20">
        <f t="shared" si="0"/>
        <v>45498</v>
      </c>
      <c r="G15" s="16" t="s">
        <v>1</v>
      </c>
      <c r="H15" s="34" t="s">
        <v>348</v>
      </c>
      <c r="I15" s="34" t="s">
        <v>347</v>
      </c>
      <c r="J15" s="27">
        <v>2016</v>
      </c>
      <c r="K15" s="23" t="s">
        <v>447</v>
      </c>
      <c r="L15" s="42" t="s">
        <v>445</v>
      </c>
      <c r="M15" s="38" t="s">
        <v>756</v>
      </c>
      <c r="N15" s="89" t="s">
        <v>760</v>
      </c>
      <c r="O15" s="74" t="s">
        <v>665</v>
      </c>
      <c r="P15" s="74" t="s">
        <v>666</v>
      </c>
    </row>
    <row r="16" spans="1:16" ht="25.05" customHeight="1">
      <c r="A16" s="47" t="s">
        <v>222</v>
      </c>
      <c r="B16" s="45" t="s">
        <v>345</v>
      </c>
      <c r="C16" s="20">
        <f>DATE(2023,7,25)</f>
        <v>45132</v>
      </c>
      <c r="D16" s="16" t="s">
        <v>762</v>
      </c>
      <c r="E16" s="23">
        <v>12</v>
      </c>
      <c r="F16" s="20">
        <f t="shared" si="0"/>
        <v>45498</v>
      </c>
      <c r="G16" s="16" t="s">
        <v>1</v>
      </c>
      <c r="H16" s="34" t="s">
        <v>344</v>
      </c>
      <c r="I16" s="34" t="s">
        <v>346</v>
      </c>
      <c r="J16" s="23">
        <v>102169</v>
      </c>
      <c r="K16" s="23" t="s">
        <v>467</v>
      </c>
      <c r="L16" s="42" t="s">
        <v>445</v>
      </c>
      <c r="M16" s="38" t="s">
        <v>756</v>
      </c>
      <c r="N16" s="89" t="s">
        <v>760</v>
      </c>
      <c r="O16" s="74" t="s">
        <v>665</v>
      </c>
      <c r="P16" s="74" t="s">
        <v>666</v>
      </c>
    </row>
    <row r="17" spans="1:16" ht="25.05" customHeight="1">
      <c r="A17" s="47" t="s">
        <v>223</v>
      </c>
      <c r="B17" s="45" t="s">
        <v>605</v>
      </c>
      <c r="C17" s="81" t="s">
        <v>755</v>
      </c>
      <c r="D17" s="16" t="s">
        <v>762</v>
      </c>
      <c r="E17" s="81" t="s">
        <v>755</v>
      </c>
      <c r="F17" s="81" t="s">
        <v>755</v>
      </c>
      <c r="G17" s="81" t="s">
        <v>755</v>
      </c>
      <c r="H17" s="34" t="s">
        <v>550</v>
      </c>
      <c r="I17" s="34" t="s">
        <v>353</v>
      </c>
      <c r="J17" s="81" t="s">
        <v>755</v>
      </c>
      <c r="K17" s="23" t="s">
        <v>354</v>
      </c>
      <c r="L17" s="42" t="s">
        <v>445</v>
      </c>
      <c r="M17" s="64" t="s">
        <v>757</v>
      </c>
      <c r="N17" s="89" t="s">
        <v>760</v>
      </c>
      <c r="O17" s="74" t="s">
        <v>665</v>
      </c>
      <c r="P17" s="74" t="s">
        <v>666</v>
      </c>
    </row>
    <row r="18" spans="1:16" ht="25.05" customHeight="1">
      <c r="A18" s="47" t="s">
        <v>224</v>
      </c>
      <c r="B18" s="45" t="s">
        <v>345</v>
      </c>
      <c r="C18" s="20">
        <f>DATE(2023,7,25)</f>
        <v>45132</v>
      </c>
      <c r="D18" s="16" t="s">
        <v>762</v>
      </c>
      <c r="E18" s="23">
        <v>12</v>
      </c>
      <c r="F18" s="20">
        <f>EDATE(C18,12)</f>
        <v>45498</v>
      </c>
      <c r="G18" s="16" t="s">
        <v>1</v>
      </c>
      <c r="H18" s="34" t="s">
        <v>344</v>
      </c>
      <c r="I18" s="34" t="s">
        <v>346</v>
      </c>
      <c r="J18" s="23">
        <v>102170</v>
      </c>
      <c r="K18" s="23" t="s">
        <v>466</v>
      </c>
      <c r="L18" s="42" t="s">
        <v>445</v>
      </c>
      <c r="M18" s="38" t="s">
        <v>756</v>
      </c>
      <c r="N18" s="89" t="s">
        <v>760</v>
      </c>
      <c r="O18" s="74" t="s">
        <v>665</v>
      </c>
      <c r="P18" s="74" t="s">
        <v>666</v>
      </c>
    </row>
    <row r="19" spans="1:16" ht="25.05" customHeight="1">
      <c r="A19" s="47" t="s">
        <v>225</v>
      </c>
      <c r="B19" s="45" t="s">
        <v>605</v>
      </c>
      <c r="C19" s="81" t="s">
        <v>755</v>
      </c>
      <c r="D19" s="16" t="s">
        <v>762</v>
      </c>
      <c r="E19" s="81" t="s">
        <v>755</v>
      </c>
      <c r="F19" s="81" t="s">
        <v>755</v>
      </c>
      <c r="G19" s="81" t="s">
        <v>755</v>
      </c>
      <c r="H19" s="34" t="s">
        <v>550</v>
      </c>
      <c r="I19" s="34" t="s">
        <v>353</v>
      </c>
      <c r="J19" s="81" t="s">
        <v>755</v>
      </c>
      <c r="K19" s="23" t="s">
        <v>354</v>
      </c>
      <c r="L19" s="42" t="s">
        <v>445</v>
      </c>
      <c r="M19" s="64" t="s">
        <v>757</v>
      </c>
      <c r="N19" s="89" t="s">
        <v>760</v>
      </c>
      <c r="O19" s="74" t="s">
        <v>665</v>
      </c>
      <c r="P19" s="74" t="s">
        <v>666</v>
      </c>
    </row>
    <row r="20" spans="1:16" ht="25.05" customHeight="1">
      <c r="A20" s="47" t="s">
        <v>226</v>
      </c>
      <c r="B20" s="45" t="s">
        <v>32</v>
      </c>
      <c r="C20" s="20">
        <f>DATE(2023,7,25)</f>
        <v>45132</v>
      </c>
      <c r="D20" s="16" t="s">
        <v>762</v>
      </c>
      <c r="E20" s="16">
        <v>12</v>
      </c>
      <c r="F20" s="20">
        <f>EDATE(C20,12)</f>
        <v>45498</v>
      </c>
      <c r="G20" s="16" t="s">
        <v>1</v>
      </c>
      <c r="H20" s="34" t="s">
        <v>348</v>
      </c>
      <c r="I20" s="46" t="s">
        <v>355</v>
      </c>
      <c r="J20" s="16">
        <v>1471002</v>
      </c>
      <c r="K20" s="17" t="s">
        <v>462</v>
      </c>
      <c r="L20" s="42" t="s">
        <v>445</v>
      </c>
      <c r="M20" s="37" t="s">
        <v>756</v>
      </c>
      <c r="N20" s="89" t="s">
        <v>760</v>
      </c>
      <c r="O20" s="74" t="s">
        <v>665</v>
      </c>
      <c r="P20" s="74" t="s">
        <v>666</v>
      </c>
    </row>
    <row r="21" spans="1:16" ht="25.05" customHeight="1">
      <c r="A21" s="47" t="s">
        <v>227</v>
      </c>
      <c r="B21" s="45" t="s">
        <v>651</v>
      </c>
      <c r="C21" s="20">
        <f>DATE(2023,7,26)</f>
        <v>45133</v>
      </c>
      <c r="D21" s="16" t="s">
        <v>762</v>
      </c>
      <c r="E21" s="16">
        <v>12</v>
      </c>
      <c r="F21" s="20">
        <f>EDATE(C21,12)</f>
        <v>45499</v>
      </c>
      <c r="G21" s="16" t="s">
        <v>1</v>
      </c>
      <c r="H21" s="34" t="s">
        <v>348</v>
      </c>
      <c r="I21" s="46" t="s">
        <v>356</v>
      </c>
      <c r="J21" s="16">
        <v>1473262</v>
      </c>
      <c r="K21" s="17" t="s">
        <v>463</v>
      </c>
      <c r="L21" s="42" t="s">
        <v>445</v>
      </c>
      <c r="M21" s="37" t="s">
        <v>756</v>
      </c>
      <c r="N21" s="89" t="s">
        <v>760</v>
      </c>
      <c r="O21" s="74" t="s">
        <v>665</v>
      </c>
      <c r="P21" s="74" t="s">
        <v>666</v>
      </c>
    </row>
    <row r="22" spans="1:16" ht="25.05" customHeight="1">
      <c r="A22" s="47" t="s">
        <v>228</v>
      </c>
      <c r="B22" s="45" t="s">
        <v>32</v>
      </c>
      <c r="C22" s="20">
        <f>DATE(2023,7,25)</f>
        <v>45132</v>
      </c>
      <c r="D22" s="16" t="s">
        <v>762</v>
      </c>
      <c r="E22" s="16">
        <v>12</v>
      </c>
      <c r="F22" s="20">
        <f>EDATE(C22,12)</f>
        <v>45498</v>
      </c>
      <c r="G22" s="16" t="s">
        <v>1</v>
      </c>
      <c r="H22" s="34" t="s">
        <v>348</v>
      </c>
      <c r="I22" s="46" t="s">
        <v>357</v>
      </c>
      <c r="J22" s="16">
        <v>1473669</v>
      </c>
      <c r="K22" s="17" t="s">
        <v>464</v>
      </c>
      <c r="L22" s="42" t="s">
        <v>445</v>
      </c>
      <c r="M22" s="37" t="s">
        <v>756</v>
      </c>
      <c r="N22" s="89" t="s">
        <v>760</v>
      </c>
      <c r="O22" s="74" t="s">
        <v>665</v>
      </c>
      <c r="P22" s="74" t="s">
        <v>666</v>
      </c>
    </row>
    <row r="23" spans="1:16" ht="25.05" customHeight="1">
      <c r="A23" s="47" t="s">
        <v>229</v>
      </c>
      <c r="B23" s="45" t="s">
        <v>32</v>
      </c>
      <c r="C23" s="20">
        <f>DATE(2023,7,25)</f>
        <v>45132</v>
      </c>
      <c r="D23" s="16" t="s">
        <v>762</v>
      </c>
      <c r="E23" s="16">
        <v>12</v>
      </c>
      <c r="F23" s="20">
        <f>EDATE(C23,12)</f>
        <v>45498</v>
      </c>
      <c r="G23" s="16" t="s">
        <v>1</v>
      </c>
      <c r="H23" s="34" t="s">
        <v>348</v>
      </c>
      <c r="I23" s="46" t="s">
        <v>358</v>
      </c>
      <c r="J23" s="16">
        <v>1473263</v>
      </c>
      <c r="K23" s="17" t="s">
        <v>465</v>
      </c>
      <c r="L23" s="42" t="s">
        <v>445</v>
      </c>
      <c r="M23" s="37" t="s">
        <v>756</v>
      </c>
      <c r="N23" s="89" t="s">
        <v>760</v>
      </c>
      <c r="O23" s="74" t="s">
        <v>665</v>
      </c>
      <c r="P23" s="74" t="s">
        <v>666</v>
      </c>
    </row>
    <row r="24" spans="1:16" ht="25.05" customHeight="1">
      <c r="A24" s="47" t="s">
        <v>230</v>
      </c>
      <c r="B24" s="34" t="s">
        <v>352</v>
      </c>
      <c r="C24" s="20">
        <f>DATE(2023,7,26)</f>
        <v>45133</v>
      </c>
      <c r="D24" s="16" t="s">
        <v>762</v>
      </c>
      <c r="E24" s="23">
        <v>12</v>
      </c>
      <c r="F24" s="20">
        <f>EDATE(C24,12)</f>
        <v>45499</v>
      </c>
      <c r="G24" s="16" t="s">
        <v>1</v>
      </c>
      <c r="H24" s="34" t="s">
        <v>542</v>
      </c>
      <c r="I24" s="34" t="s">
        <v>325</v>
      </c>
      <c r="J24" s="16">
        <v>200101</v>
      </c>
      <c r="K24" s="23" t="s">
        <v>627</v>
      </c>
      <c r="L24" s="42" t="s">
        <v>445</v>
      </c>
      <c r="M24" s="37" t="s">
        <v>756</v>
      </c>
      <c r="N24" s="89" t="s">
        <v>760</v>
      </c>
      <c r="O24" s="74" t="s">
        <v>665</v>
      </c>
      <c r="P24" s="74" t="s">
        <v>666</v>
      </c>
    </row>
    <row r="25" spans="1:16" ht="25.05" customHeight="1">
      <c r="A25" s="47" t="s">
        <v>231</v>
      </c>
      <c r="B25" s="34" t="s">
        <v>552</v>
      </c>
      <c r="C25" s="20">
        <f>DATE(2023,7,26)</f>
        <v>45133</v>
      </c>
      <c r="D25" s="16" t="s">
        <v>762</v>
      </c>
      <c r="E25" s="23">
        <v>12</v>
      </c>
      <c r="F25" s="20">
        <f>EDATE(C25,12)</f>
        <v>45499</v>
      </c>
      <c r="G25" s="16" t="s">
        <v>1</v>
      </c>
      <c r="H25" s="34" t="s">
        <v>542</v>
      </c>
      <c r="I25" s="34" t="s">
        <v>560</v>
      </c>
      <c r="J25" s="16" t="s">
        <v>632</v>
      </c>
      <c r="K25" s="23" t="s">
        <v>561</v>
      </c>
      <c r="L25" s="42" t="s">
        <v>445</v>
      </c>
      <c r="M25" s="37" t="s">
        <v>756</v>
      </c>
      <c r="N25" s="89" t="s">
        <v>760</v>
      </c>
      <c r="O25" s="74" t="s">
        <v>665</v>
      </c>
      <c r="P25" s="74" t="s">
        <v>666</v>
      </c>
    </row>
    <row r="26" spans="1:16" ht="25.05" customHeight="1">
      <c r="A26" s="47" t="s">
        <v>232</v>
      </c>
      <c r="B26" s="34" t="s">
        <v>553</v>
      </c>
      <c r="C26" s="81" t="s">
        <v>755</v>
      </c>
      <c r="D26" s="16" t="s">
        <v>762</v>
      </c>
      <c r="E26" s="81" t="s">
        <v>755</v>
      </c>
      <c r="F26" s="81" t="s">
        <v>755</v>
      </c>
      <c r="G26" s="81" t="s">
        <v>755</v>
      </c>
      <c r="H26" s="34" t="s">
        <v>542</v>
      </c>
      <c r="I26" s="34" t="s">
        <v>555</v>
      </c>
      <c r="J26" s="16" t="s">
        <v>554</v>
      </c>
      <c r="K26" s="81" t="s">
        <v>755</v>
      </c>
      <c r="L26" s="42" t="s">
        <v>445</v>
      </c>
      <c r="M26" s="62" t="s">
        <v>757</v>
      </c>
      <c r="N26" s="89" t="s">
        <v>760</v>
      </c>
      <c r="O26" s="74" t="s">
        <v>665</v>
      </c>
      <c r="P26" s="74" t="s">
        <v>666</v>
      </c>
    </row>
    <row r="27" spans="1:16" ht="25.05" customHeight="1">
      <c r="A27" s="47" t="s">
        <v>233</v>
      </c>
      <c r="B27" s="34" t="s">
        <v>556</v>
      </c>
      <c r="C27" s="81" t="s">
        <v>755</v>
      </c>
      <c r="D27" s="16" t="s">
        <v>762</v>
      </c>
      <c r="E27" s="81" t="s">
        <v>755</v>
      </c>
      <c r="F27" s="81" t="s">
        <v>755</v>
      </c>
      <c r="G27" s="81" t="s">
        <v>755</v>
      </c>
      <c r="H27" s="34" t="s">
        <v>542</v>
      </c>
      <c r="I27" s="81" t="s">
        <v>755</v>
      </c>
      <c r="J27" s="81" t="s">
        <v>755</v>
      </c>
      <c r="K27" s="19" t="s">
        <v>557</v>
      </c>
      <c r="L27" s="42" t="s">
        <v>445</v>
      </c>
      <c r="M27" s="65" t="s">
        <v>757</v>
      </c>
      <c r="N27" s="89" t="s">
        <v>760</v>
      </c>
      <c r="O27" s="74" t="s">
        <v>665</v>
      </c>
      <c r="P27" s="74" t="s">
        <v>666</v>
      </c>
    </row>
    <row r="28" spans="1:16" ht="25.05" customHeight="1">
      <c r="A28" s="47" t="s">
        <v>234</v>
      </c>
      <c r="B28" s="34" t="s">
        <v>360</v>
      </c>
      <c r="C28" s="15">
        <f>DATE(2022,7,29)</f>
        <v>44771</v>
      </c>
      <c r="D28" s="16" t="s">
        <v>762</v>
      </c>
      <c r="E28" s="16">
        <v>24</v>
      </c>
      <c r="F28" s="20">
        <f>EDATE(C28,24)</f>
        <v>45502</v>
      </c>
      <c r="G28" s="16" t="s">
        <v>1</v>
      </c>
      <c r="H28" s="34" t="s">
        <v>344</v>
      </c>
      <c r="I28" s="34" t="s">
        <v>361</v>
      </c>
      <c r="J28" s="16">
        <v>101278</v>
      </c>
      <c r="K28" s="16" t="s">
        <v>595</v>
      </c>
      <c r="L28" s="42" t="s">
        <v>445</v>
      </c>
      <c r="M28" s="37" t="s">
        <v>756</v>
      </c>
      <c r="N28" s="89" t="s">
        <v>760</v>
      </c>
      <c r="O28" s="74" t="s">
        <v>665</v>
      </c>
      <c r="P28" s="74" t="s">
        <v>666</v>
      </c>
    </row>
    <row r="29" spans="1:16" ht="25.05" customHeight="1">
      <c r="A29" s="47" t="s">
        <v>235</v>
      </c>
      <c r="B29" s="34" t="s">
        <v>359</v>
      </c>
      <c r="C29" s="15">
        <f>DATE(2022,8,18)</f>
        <v>44791</v>
      </c>
      <c r="D29" s="16" t="s">
        <v>762</v>
      </c>
      <c r="E29" s="16">
        <v>24</v>
      </c>
      <c r="F29" s="20">
        <f>EDATE(C29,24)</f>
        <v>45522</v>
      </c>
      <c r="G29" s="16" t="s">
        <v>1</v>
      </c>
      <c r="H29" s="34" t="s">
        <v>344</v>
      </c>
      <c r="I29" s="40" t="s">
        <v>362</v>
      </c>
      <c r="J29" s="16">
        <v>101366</v>
      </c>
      <c r="K29" s="17" t="s">
        <v>461</v>
      </c>
      <c r="L29" s="42" t="s">
        <v>445</v>
      </c>
      <c r="M29" s="37" t="s">
        <v>756</v>
      </c>
      <c r="N29" s="89" t="s">
        <v>760</v>
      </c>
      <c r="O29" s="74" t="s">
        <v>665</v>
      </c>
      <c r="P29" s="74" t="s">
        <v>666</v>
      </c>
    </row>
    <row r="30" spans="1:16" ht="25.05" customHeight="1">
      <c r="A30" s="47" t="s">
        <v>236</v>
      </c>
      <c r="B30" s="34" t="s">
        <v>610</v>
      </c>
      <c r="C30" s="15">
        <f>DATE(2022,8,16)</f>
        <v>44789</v>
      </c>
      <c r="D30" s="16" t="s">
        <v>762</v>
      </c>
      <c r="E30" s="16">
        <v>24</v>
      </c>
      <c r="F30" s="20">
        <f>EDATE(C30,24)</f>
        <v>45520</v>
      </c>
      <c r="G30" s="16" t="s">
        <v>1</v>
      </c>
      <c r="H30" s="34" t="s">
        <v>344</v>
      </c>
      <c r="I30" s="34" t="s">
        <v>363</v>
      </c>
      <c r="J30" s="16">
        <v>100943</v>
      </c>
      <c r="K30" s="17" t="s">
        <v>594</v>
      </c>
      <c r="L30" s="42" t="s">
        <v>445</v>
      </c>
      <c r="M30" s="37" t="s">
        <v>756</v>
      </c>
      <c r="N30" s="89" t="s">
        <v>760</v>
      </c>
      <c r="O30" s="74" t="s">
        <v>665</v>
      </c>
      <c r="P30" s="74" t="s">
        <v>666</v>
      </c>
    </row>
    <row r="31" spans="1:16" ht="25.05" customHeight="1">
      <c r="A31" s="47" t="s">
        <v>237</v>
      </c>
      <c r="B31" s="34" t="s">
        <v>366</v>
      </c>
      <c r="C31" s="15">
        <f>DATE(2023,7,25)</f>
        <v>45132</v>
      </c>
      <c r="D31" s="16" t="s">
        <v>762</v>
      </c>
      <c r="E31" s="23">
        <v>24</v>
      </c>
      <c r="F31" s="20">
        <f>EDATE(C31,24)</f>
        <v>45863</v>
      </c>
      <c r="G31" s="16" t="s">
        <v>1</v>
      </c>
      <c r="H31" s="34" t="s">
        <v>324</v>
      </c>
      <c r="I31" s="39" t="s">
        <v>365</v>
      </c>
      <c r="J31" s="27" t="s">
        <v>633</v>
      </c>
      <c r="K31" s="23" t="s">
        <v>596</v>
      </c>
      <c r="L31" s="42" t="s">
        <v>445</v>
      </c>
      <c r="M31" s="37" t="s">
        <v>756</v>
      </c>
      <c r="N31" s="89" t="s">
        <v>760</v>
      </c>
      <c r="O31" s="74" t="s">
        <v>665</v>
      </c>
      <c r="P31" s="74" t="s">
        <v>666</v>
      </c>
    </row>
    <row r="32" spans="1:16" ht="25.05" customHeight="1">
      <c r="A32" s="47" t="s">
        <v>238</v>
      </c>
      <c r="B32" s="34" t="s">
        <v>364</v>
      </c>
      <c r="C32" s="81" t="s">
        <v>755</v>
      </c>
      <c r="D32" s="16" t="s">
        <v>762</v>
      </c>
      <c r="E32" s="81" t="s">
        <v>755</v>
      </c>
      <c r="F32" s="81" t="s">
        <v>755</v>
      </c>
      <c r="G32" s="81" t="s">
        <v>755</v>
      </c>
      <c r="H32" s="34" t="s">
        <v>324</v>
      </c>
      <c r="I32" s="34" t="s">
        <v>571</v>
      </c>
      <c r="J32" s="23">
        <v>3046</v>
      </c>
      <c r="K32" s="26" t="s">
        <v>593</v>
      </c>
      <c r="L32" s="42" t="s">
        <v>445</v>
      </c>
      <c r="M32" s="62" t="s">
        <v>757</v>
      </c>
      <c r="N32" s="89" t="s">
        <v>760</v>
      </c>
      <c r="O32" s="74" t="s">
        <v>665</v>
      </c>
      <c r="P32" s="74" t="s">
        <v>666</v>
      </c>
    </row>
    <row r="33" spans="1:16" ht="25.05" customHeight="1">
      <c r="A33" s="47" t="s">
        <v>239</v>
      </c>
      <c r="B33" s="45" t="s">
        <v>530</v>
      </c>
      <c r="C33" s="15">
        <f>DATE(2022,8,9)</f>
        <v>44782</v>
      </c>
      <c r="D33" s="16" t="s">
        <v>762</v>
      </c>
      <c r="E33" s="23">
        <v>24</v>
      </c>
      <c r="F33" s="20">
        <f>EDATE(C33,24)</f>
        <v>45513</v>
      </c>
      <c r="G33" s="16" t="s">
        <v>1</v>
      </c>
      <c r="H33" s="34" t="s">
        <v>367</v>
      </c>
      <c r="I33" s="45" t="s">
        <v>634</v>
      </c>
      <c r="J33" s="27">
        <v>920250</v>
      </c>
      <c r="K33" s="17" t="s">
        <v>592</v>
      </c>
      <c r="L33" s="42" t="s">
        <v>445</v>
      </c>
      <c r="M33" s="37" t="s">
        <v>756</v>
      </c>
      <c r="N33" s="89" t="s">
        <v>760</v>
      </c>
      <c r="O33" s="74" t="s">
        <v>665</v>
      </c>
      <c r="P33" s="74" t="s">
        <v>666</v>
      </c>
    </row>
    <row r="34" spans="1:16" ht="25.05" customHeight="1">
      <c r="A34" s="47" t="s">
        <v>240</v>
      </c>
      <c r="B34" s="34" t="s">
        <v>648</v>
      </c>
      <c r="C34" s="81" t="s">
        <v>755</v>
      </c>
      <c r="D34" s="16" t="s">
        <v>762</v>
      </c>
      <c r="E34" s="81" t="s">
        <v>755</v>
      </c>
      <c r="F34" s="81" t="s">
        <v>755</v>
      </c>
      <c r="G34" s="81" t="s">
        <v>755</v>
      </c>
      <c r="H34" s="34" t="s">
        <v>324</v>
      </c>
      <c r="I34" s="34" t="s">
        <v>370</v>
      </c>
      <c r="J34" s="16">
        <v>5034</v>
      </c>
      <c r="K34" s="26" t="s">
        <v>500</v>
      </c>
      <c r="L34" s="42" t="s">
        <v>445</v>
      </c>
      <c r="M34" s="62" t="s">
        <v>757</v>
      </c>
      <c r="N34" s="89" t="s">
        <v>760</v>
      </c>
      <c r="O34" s="74" t="s">
        <v>665</v>
      </c>
      <c r="P34" s="74" t="s">
        <v>666</v>
      </c>
    </row>
    <row r="35" spans="1:16" ht="25.05" customHeight="1">
      <c r="A35" s="47" t="s">
        <v>241</v>
      </c>
      <c r="B35" s="35" t="s">
        <v>647</v>
      </c>
      <c r="C35" s="81" t="s">
        <v>755</v>
      </c>
      <c r="D35" s="16" t="s">
        <v>762</v>
      </c>
      <c r="E35" s="81" t="s">
        <v>755</v>
      </c>
      <c r="F35" s="81" t="s">
        <v>755</v>
      </c>
      <c r="G35" s="81" t="s">
        <v>755</v>
      </c>
      <c r="H35" s="34" t="s">
        <v>367</v>
      </c>
      <c r="I35" s="70" t="s">
        <v>646</v>
      </c>
      <c r="J35" s="35">
        <v>230335</v>
      </c>
      <c r="K35" s="49" t="s">
        <v>591</v>
      </c>
      <c r="L35" s="42" t="s">
        <v>445</v>
      </c>
      <c r="M35" s="62" t="s">
        <v>757</v>
      </c>
      <c r="N35" s="89" t="s">
        <v>760</v>
      </c>
      <c r="O35" s="74" t="s">
        <v>665</v>
      </c>
      <c r="P35" s="74" t="s">
        <v>666</v>
      </c>
    </row>
    <row r="36" spans="1:16" ht="25.05" customHeight="1">
      <c r="A36" s="48" t="s">
        <v>242</v>
      </c>
      <c r="B36" s="49" t="s">
        <v>22</v>
      </c>
      <c r="C36" s="20">
        <f>DATE(2023,7,27)</f>
        <v>45134</v>
      </c>
      <c r="D36" s="16" t="s">
        <v>762</v>
      </c>
      <c r="E36" s="35">
        <v>12</v>
      </c>
      <c r="F36" s="20">
        <f>EDATE(C36,12)</f>
        <v>45500</v>
      </c>
      <c r="G36" s="35" t="s">
        <v>1</v>
      </c>
      <c r="H36" s="34" t="s">
        <v>344</v>
      </c>
      <c r="I36" s="34" t="s">
        <v>369</v>
      </c>
      <c r="J36" s="35">
        <v>102201</v>
      </c>
      <c r="K36" s="35" t="s">
        <v>602</v>
      </c>
      <c r="L36" s="42" t="s">
        <v>445</v>
      </c>
      <c r="M36" s="35" t="s">
        <v>756</v>
      </c>
      <c r="N36" s="89" t="s">
        <v>760</v>
      </c>
      <c r="O36" s="74" t="s">
        <v>665</v>
      </c>
      <c r="P36" s="74" t="s">
        <v>666</v>
      </c>
    </row>
    <row r="37" spans="1:16" ht="25.05" customHeight="1">
      <c r="A37" s="48" t="s">
        <v>243</v>
      </c>
      <c r="B37" s="49" t="s">
        <v>572</v>
      </c>
      <c r="C37" s="20">
        <f>DATE(2023,7,24)</f>
        <v>45131</v>
      </c>
      <c r="D37" s="16" t="s">
        <v>762</v>
      </c>
      <c r="E37" s="35">
        <v>12</v>
      </c>
      <c r="F37" s="20">
        <f t="shared" ref="F37:F58" si="1">EDATE(C37,12)</f>
        <v>45497</v>
      </c>
      <c r="G37" s="35" t="s">
        <v>1</v>
      </c>
      <c r="H37" s="34" t="s">
        <v>344</v>
      </c>
      <c r="I37" s="34" t="s">
        <v>371</v>
      </c>
      <c r="J37" s="35">
        <v>103548</v>
      </c>
      <c r="K37" s="35" t="s">
        <v>454</v>
      </c>
      <c r="L37" s="42" t="s">
        <v>445</v>
      </c>
      <c r="M37" s="35" t="s">
        <v>756</v>
      </c>
      <c r="N37" s="89" t="s">
        <v>760</v>
      </c>
      <c r="O37" s="74" t="s">
        <v>665</v>
      </c>
      <c r="P37" s="74" t="s">
        <v>666</v>
      </c>
    </row>
    <row r="38" spans="1:16" ht="25.05" customHeight="1">
      <c r="A38" s="48" t="s">
        <v>244</v>
      </c>
      <c r="B38" s="49" t="s">
        <v>368</v>
      </c>
      <c r="C38" s="20">
        <f>DATE(2023,7,27)</f>
        <v>45134</v>
      </c>
      <c r="D38" s="16" t="s">
        <v>762</v>
      </c>
      <c r="E38" s="35">
        <v>12</v>
      </c>
      <c r="F38" s="20">
        <f t="shared" si="1"/>
        <v>45500</v>
      </c>
      <c r="G38" s="35" t="s">
        <v>1</v>
      </c>
      <c r="H38" s="34" t="s">
        <v>344</v>
      </c>
      <c r="I38" s="34" t="s">
        <v>372</v>
      </c>
      <c r="J38" s="35">
        <v>102045</v>
      </c>
      <c r="K38" s="35" t="s">
        <v>583</v>
      </c>
      <c r="L38" s="42" t="s">
        <v>445</v>
      </c>
      <c r="M38" s="35" t="s">
        <v>756</v>
      </c>
      <c r="N38" s="89" t="s">
        <v>760</v>
      </c>
      <c r="O38" s="74" t="s">
        <v>665</v>
      </c>
      <c r="P38" s="74" t="s">
        <v>666</v>
      </c>
    </row>
    <row r="39" spans="1:16" ht="25.05" customHeight="1">
      <c r="A39" s="48" t="s">
        <v>245</v>
      </c>
      <c r="B39" s="49" t="s">
        <v>373</v>
      </c>
      <c r="C39" s="20">
        <f>DATE(2023,7,26)</f>
        <v>45133</v>
      </c>
      <c r="D39" s="16" t="s">
        <v>762</v>
      </c>
      <c r="E39" s="35">
        <v>12</v>
      </c>
      <c r="F39" s="20">
        <f t="shared" si="1"/>
        <v>45499</v>
      </c>
      <c r="G39" s="35" t="s">
        <v>1</v>
      </c>
      <c r="H39" s="34" t="s">
        <v>344</v>
      </c>
      <c r="I39" s="34" t="s">
        <v>326</v>
      </c>
      <c r="J39" s="35">
        <v>102698</v>
      </c>
      <c r="K39" s="35" t="s">
        <v>581</v>
      </c>
      <c r="L39" s="42" t="s">
        <v>445</v>
      </c>
      <c r="M39" s="35" t="s">
        <v>756</v>
      </c>
      <c r="N39" s="89" t="s">
        <v>760</v>
      </c>
      <c r="O39" s="74" t="s">
        <v>665</v>
      </c>
      <c r="P39" s="74" t="s">
        <v>666</v>
      </c>
    </row>
    <row r="40" spans="1:16" ht="25.05" customHeight="1">
      <c r="A40" s="48" t="s">
        <v>246</v>
      </c>
      <c r="B40" s="49" t="s">
        <v>373</v>
      </c>
      <c r="C40" s="20">
        <f>DATE(2023,7,26)</f>
        <v>45133</v>
      </c>
      <c r="D40" s="16" t="s">
        <v>762</v>
      </c>
      <c r="E40" s="35">
        <v>12</v>
      </c>
      <c r="F40" s="20">
        <f t="shared" si="1"/>
        <v>45499</v>
      </c>
      <c r="G40" s="35" t="s">
        <v>1</v>
      </c>
      <c r="H40" s="34" t="s">
        <v>344</v>
      </c>
      <c r="I40" s="34" t="s">
        <v>326</v>
      </c>
      <c r="J40" s="35">
        <v>102699</v>
      </c>
      <c r="K40" s="35" t="s">
        <v>581</v>
      </c>
      <c r="L40" s="42" t="s">
        <v>445</v>
      </c>
      <c r="M40" s="35" t="s">
        <v>756</v>
      </c>
      <c r="N40" s="89" t="s">
        <v>760</v>
      </c>
      <c r="O40" s="74" t="s">
        <v>665</v>
      </c>
      <c r="P40" s="74" t="s">
        <v>666</v>
      </c>
    </row>
    <row r="41" spans="1:16" ht="25.05" customHeight="1">
      <c r="A41" s="48" t="s">
        <v>247</v>
      </c>
      <c r="B41" s="49" t="s">
        <v>373</v>
      </c>
      <c r="C41" s="20">
        <f>DATE(2023,7,27)</f>
        <v>45134</v>
      </c>
      <c r="D41" s="16" t="s">
        <v>762</v>
      </c>
      <c r="E41" s="35">
        <v>12</v>
      </c>
      <c r="F41" s="20">
        <f t="shared" si="1"/>
        <v>45500</v>
      </c>
      <c r="G41" s="35" t="s">
        <v>1</v>
      </c>
      <c r="H41" s="34" t="s">
        <v>344</v>
      </c>
      <c r="I41" s="34" t="s">
        <v>377</v>
      </c>
      <c r="J41" s="35">
        <v>101475</v>
      </c>
      <c r="K41" s="35" t="s">
        <v>460</v>
      </c>
      <c r="L41" s="42" t="s">
        <v>445</v>
      </c>
      <c r="M41" s="35" t="s">
        <v>756</v>
      </c>
      <c r="N41" s="89" t="s">
        <v>760</v>
      </c>
      <c r="O41" s="74" t="s">
        <v>665</v>
      </c>
      <c r="P41" s="74" t="s">
        <v>666</v>
      </c>
    </row>
    <row r="42" spans="1:16" ht="25.05" customHeight="1">
      <c r="A42" s="48" t="s">
        <v>248</v>
      </c>
      <c r="B42" s="49" t="s">
        <v>374</v>
      </c>
      <c r="C42" s="20">
        <f t="shared" ref="C42:C47" si="2">DATE(2023,7,26)</f>
        <v>45133</v>
      </c>
      <c r="D42" s="16" t="s">
        <v>762</v>
      </c>
      <c r="E42" s="35">
        <v>12</v>
      </c>
      <c r="F42" s="20">
        <f t="shared" si="1"/>
        <v>45499</v>
      </c>
      <c r="G42" s="35" t="s">
        <v>1</v>
      </c>
      <c r="H42" s="34" t="s">
        <v>344</v>
      </c>
      <c r="I42" s="34" t="s">
        <v>375</v>
      </c>
      <c r="J42" s="35">
        <v>106210</v>
      </c>
      <c r="K42" s="35" t="s">
        <v>582</v>
      </c>
      <c r="L42" s="42" t="s">
        <v>445</v>
      </c>
      <c r="M42" s="35" t="s">
        <v>756</v>
      </c>
      <c r="N42" s="89" t="s">
        <v>760</v>
      </c>
      <c r="O42" s="74" t="s">
        <v>665</v>
      </c>
      <c r="P42" s="74" t="s">
        <v>666</v>
      </c>
    </row>
    <row r="43" spans="1:16" ht="25.05" customHeight="1">
      <c r="A43" s="48" t="s">
        <v>249</v>
      </c>
      <c r="B43" s="49" t="s">
        <v>374</v>
      </c>
      <c r="C43" s="20">
        <f t="shared" si="2"/>
        <v>45133</v>
      </c>
      <c r="D43" s="16" t="s">
        <v>762</v>
      </c>
      <c r="E43" s="35">
        <v>12</v>
      </c>
      <c r="F43" s="20">
        <f t="shared" si="1"/>
        <v>45499</v>
      </c>
      <c r="G43" s="35" t="s">
        <v>1</v>
      </c>
      <c r="H43" s="34" t="s">
        <v>344</v>
      </c>
      <c r="I43" s="34" t="s">
        <v>376</v>
      </c>
      <c r="J43" s="35">
        <v>106211</v>
      </c>
      <c r="K43" s="35" t="s">
        <v>582</v>
      </c>
      <c r="L43" s="42" t="s">
        <v>445</v>
      </c>
      <c r="M43" s="35" t="s">
        <v>756</v>
      </c>
      <c r="N43" s="89" t="s">
        <v>760</v>
      </c>
      <c r="O43" s="74" t="s">
        <v>665</v>
      </c>
      <c r="P43" s="74" t="s">
        <v>666</v>
      </c>
    </row>
    <row r="44" spans="1:16" ht="25.05" customHeight="1">
      <c r="A44" s="48" t="s">
        <v>250</v>
      </c>
      <c r="B44" s="49" t="s">
        <v>499</v>
      </c>
      <c r="C44" s="20">
        <f t="shared" si="2"/>
        <v>45133</v>
      </c>
      <c r="D44" s="16" t="s">
        <v>762</v>
      </c>
      <c r="E44" s="28">
        <v>12</v>
      </c>
      <c r="F44" s="20">
        <f t="shared" si="1"/>
        <v>45499</v>
      </c>
      <c r="G44" s="35" t="s">
        <v>1</v>
      </c>
      <c r="H44" s="34" t="s">
        <v>541</v>
      </c>
      <c r="I44" s="34" t="s">
        <v>378</v>
      </c>
      <c r="J44" s="52" t="s">
        <v>635</v>
      </c>
      <c r="K44" s="28" t="s">
        <v>579</v>
      </c>
      <c r="L44" s="42" t="s">
        <v>445</v>
      </c>
      <c r="M44" s="35" t="s">
        <v>756</v>
      </c>
      <c r="N44" s="89" t="s">
        <v>760</v>
      </c>
      <c r="O44" s="74" t="s">
        <v>665</v>
      </c>
      <c r="P44" s="74" t="s">
        <v>666</v>
      </c>
    </row>
    <row r="45" spans="1:16" ht="25.05" customHeight="1">
      <c r="A45" s="48" t="s">
        <v>251</v>
      </c>
      <c r="B45" s="49" t="s">
        <v>499</v>
      </c>
      <c r="C45" s="20">
        <f t="shared" si="2"/>
        <v>45133</v>
      </c>
      <c r="D45" s="16" t="s">
        <v>762</v>
      </c>
      <c r="E45" s="28">
        <v>12</v>
      </c>
      <c r="F45" s="20">
        <f t="shared" si="1"/>
        <v>45499</v>
      </c>
      <c r="G45" s="35" t="s">
        <v>1</v>
      </c>
      <c r="H45" s="34" t="s">
        <v>541</v>
      </c>
      <c r="I45" s="34" t="s">
        <v>684</v>
      </c>
      <c r="J45" s="52" t="s">
        <v>636</v>
      </c>
      <c r="K45" s="28" t="s">
        <v>685</v>
      </c>
      <c r="L45" s="42" t="s">
        <v>445</v>
      </c>
      <c r="M45" s="35" t="s">
        <v>756</v>
      </c>
      <c r="N45" s="89" t="s">
        <v>760</v>
      </c>
      <c r="O45" s="74" t="s">
        <v>665</v>
      </c>
      <c r="P45" s="74" t="s">
        <v>666</v>
      </c>
    </row>
    <row r="46" spans="1:16" ht="25.05" customHeight="1">
      <c r="A46" s="48" t="s">
        <v>252</v>
      </c>
      <c r="B46" s="49" t="s">
        <v>499</v>
      </c>
      <c r="C46" s="20">
        <f t="shared" si="2"/>
        <v>45133</v>
      </c>
      <c r="D46" s="16" t="s">
        <v>762</v>
      </c>
      <c r="E46" s="28">
        <v>12</v>
      </c>
      <c r="F46" s="20">
        <f t="shared" si="1"/>
        <v>45499</v>
      </c>
      <c r="G46" s="35" t="s">
        <v>1</v>
      </c>
      <c r="H46" s="34" t="s">
        <v>379</v>
      </c>
      <c r="I46" s="34" t="s">
        <v>546</v>
      </c>
      <c r="J46" s="52">
        <v>1945</v>
      </c>
      <c r="K46" s="28" t="s">
        <v>453</v>
      </c>
      <c r="L46" s="42" t="s">
        <v>445</v>
      </c>
      <c r="M46" s="35" t="s">
        <v>756</v>
      </c>
      <c r="N46" s="89" t="s">
        <v>760</v>
      </c>
      <c r="O46" s="74" t="s">
        <v>665</v>
      </c>
      <c r="P46" s="74" t="s">
        <v>666</v>
      </c>
    </row>
    <row r="47" spans="1:16" ht="25.05" customHeight="1">
      <c r="A47" s="48" t="s">
        <v>691</v>
      </c>
      <c r="B47" s="42" t="s">
        <v>499</v>
      </c>
      <c r="C47" s="20">
        <f t="shared" si="2"/>
        <v>45133</v>
      </c>
      <c r="D47" s="16" t="s">
        <v>762</v>
      </c>
      <c r="E47" s="42">
        <v>12</v>
      </c>
      <c r="F47" s="15">
        <f t="shared" si="1"/>
        <v>45499</v>
      </c>
      <c r="G47" s="44" t="s">
        <v>1</v>
      </c>
      <c r="H47" s="42" t="s">
        <v>543</v>
      </c>
      <c r="I47" s="42" t="s">
        <v>637</v>
      </c>
      <c r="J47" s="42" t="s">
        <v>498</v>
      </c>
      <c r="K47" s="75" t="s">
        <v>580</v>
      </c>
      <c r="L47" s="42" t="s">
        <v>445</v>
      </c>
      <c r="M47" s="76" t="s">
        <v>756</v>
      </c>
      <c r="N47" s="89" t="s">
        <v>760</v>
      </c>
      <c r="O47" s="74" t="s">
        <v>665</v>
      </c>
      <c r="P47" s="74" t="s">
        <v>666</v>
      </c>
    </row>
    <row r="48" spans="1:16" ht="25.05" customHeight="1">
      <c r="A48" s="48" t="s">
        <v>253</v>
      </c>
      <c r="B48" s="45" t="s">
        <v>340</v>
      </c>
      <c r="C48" s="81" t="s">
        <v>755</v>
      </c>
      <c r="D48" s="16" t="s">
        <v>762</v>
      </c>
      <c r="E48" s="81" t="s">
        <v>755</v>
      </c>
      <c r="F48" s="81" t="s">
        <v>755</v>
      </c>
      <c r="G48" s="81" t="s">
        <v>755</v>
      </c>
      <c r="H48" s="34" t="s">
        <v>344</v>
      </c>
      <c r="I48" s="34" t="s">
        <v>328</v>
      </c>
      <c r="J48" s="28">
        <v>104124</v>
      </c>
      <c r="K48" s="29" t="s">
        <v>381</v>
      </c>
      <c r="L48" s="42" t="s">
        <v>445</v>
      </c>
      <c r="M48" s="35" t="s">
        <v>757</v>
      </c>
      <c r="N48" s="89" t="s">
        <v>760</v>
      </c>
      <c r="O48" s="74" t="s">
        <v>665</v>
      </c>
      <c r="P48" s="74" t="s">
        <v>666</v>
      </c>
    </row>
    <row r="49" spans="1:16" ht="25.05" customHeight="1">
      <c r="A49" s="48" t="s">
        <v>254</v>
      </c>
      <c r="B49" s="45" t="s">
        <v>340</v>
      </c>
      <c r="C49" s="81" t="s">
        <v>755</v>
      </c>
      <c r="D49" s="16" t="s">
        <v>762</v>
      </c>
      <c r="E49" s="81" t="s">
        <v>755</v>
      </c>
      <c r="F49" s="81" t="s">
        <v>755</v>
      </c>
      <c r="G49" s="81" t="s">
        <v>755</v>
      </c>
      <c r="H49" s="34" t="s">
        <v>344</v>
      </c>
      <c r="I49" s="34" t="s">
        <v>327</v>
      </c>
      <c r="J49" s="28">
        <v>104125</v>
      </c>
      <c r="K49" s="29" t="s">
        <v>382</v>
      </c>
      <c r="L49" s="42" t="s">
        <v>445</v>
      </c>
      <c r="M49" s="35" t="s">
        <v>757</v>
      </c>
      <c r="N49" s="89" t="s">
        <v>760</v>
      </c>
      <c r="O49" s="74" t="s">
        <v>665</v>
      </c>
      <c r="P49" s="74" t="s">
        <v>666</v>
      </c>
    </row>
    <row r="50" spans="1:16" ht="25.05" customHeight="1">
      <c r="A50" s="48" t="s">
        <v>255</v>
      </c>
      <c r="B50" s="45" t="s">
        <v>340</v>
      </c>
      <c r="C50" s="81" t="s">
        <v>755</v>
      </c>
      <c r="D50" s="16" t="s">
        <v>762</v>
      </c>
      <c r="E50" s="81" t="s">
        <v>755</v>
      </c>
      <c r="F50" s="81" t="s">
        <v>755</v>
      </c>
      <c r="G50" s="81" t="s">
        <v>755</v>
      </c>
      <c r="H50" s="34" t="s">
        <v>344</v>
      </c>
      <c r="I50" s="34" t="s">
        <v>380</v>
      </c>
      <c r="J50" s="28">
        <v>104153</v>
      </c>
      <c r="K50" s="29" t="s">
        <v>383</v>
      </c>
      <c r="L50" s="42" t="s">
        <v>445</v>
      </c>
      <c r="M50" s="35" t="s">
        <v>757</v>
      </c>
      <c r="N50" s="89" t="s">
        <v>760</v>
      </c>
      <c r="O50" s="74" t="s">
        <v>665</v>
      </c>
      <c r="P50" s="74" t="s">
        <v>666</v>
      </c>
    </row>
    <row r="51" spans="1:16" ht="25.05" customHeight="1">
      <c r="A51" s="48" t="s">
        <v>256</v>
      </c>
      <c r="B51" s="45" t="s">
        <v>539</v>
      </c>
      <c r="C51" s="20">
        <f>DATE(2023,7,25)</f>
        <v>45132</v>
      </c>
      <c r="D51" s="16" t="s">
        <v>762</v>
      </c>
      <c r="E51" s="19">
        <v>12</v>
      </c>
      <c r="F51" s="20">
        <f t="shared" si="1"/>
        <v>45498</v>
      </c>
      <c r="G51" s="35" t="s">
        <v>1</v>
      </c>
      <c r="H51" s="34" t="s">
        <v>714</v>
      </c>
      <c r="I51" s="34" t="s">
        <v>422</v>
      </c>
      <c r="J51" s="69" t="s">
        <v>638</v>
      </c>
      <c r="K51" s="19" t="s">
        <v>514</v>
      </c>
      <c r="L51" s="42" t="s">
        <v>445</v>
      </c>
      <c r="M51" s="35" t="s">
        <v>756</v>
      </c>
      <c r="N51" s="89" t="s">
        <v>760</v>
      </c>
      <c r="O51" s="74" t="s">
        <v>665</v>
      </c>
      <c r="P51" s="74" t="s">
        <v>666</v>
      </c>
    </row>
    <row r="52" spans="1:16" ht="25.05" customHeight="1">
      <c r="A52" s="48" t="s">
        <v>257</v>
      </c>
      <c r="B52" s="45" t="s">
        <v>340</v>
      </c>
      <c r="C52" s="81" t="s">
        <v>755</v>
      </c>
      <c r="D52" s="16" t="s">
        <v>762</v>
      </c>
      <c r="E52" s="81" t="s">
        <v>755</v>
      </c>
      <c r="F52" s="81" t="s">
        <v>755</v>
      </c>
      <c r="G52" s="81" t="s">
        <v>755</v>
      </c>
      <c r="H52" s="34" t="s">
        <v>344</v>
      </c>
      <c r="I52" s="34" t="s">
        <v>329</v>
      </c>
      <c r="J52" s="28">
        <v>104156</v>
      </c>
      <c r="K52" s="29" t="s">
        <v>384</v>
      </c>
      <c r="L52" s="42" t="s">
        <v>445</v>
      </c>
      <c r="M52" s="35" t="s">
        <v>757</v>
      </c>
      <c r="N52" s="89" t="s">
        <v>760</v>
      </c>
      <c r="O52" s="74" t="s">
        <v>665</v>
      </c>
      <c r="P52" s="74" t="s">
        <v>666</v>
      </c>
    </row>
    <row r="53" spans="1:16" ht="25.05" customHeight="1">
      <c r="A53" s="48" t="s">
        <v>258</v>
      </c>
      <c r="B53" s="45" t="s">
        <v>385</v>
      </c>
      <c r="C53" s="20">
        <f t="shared" ref="C53:C58" si="3">DATE(2023,7,27)</f>
        <v>45134</v>
      </c>
      <c r="D53" s="16" t="s">
        <v>762</v>
      </c>
      <c r="E53" s="22">
        <v>12</v>
      </c>
      <c r="F53" s="20">
        <f t="shared" si="1"/>
        <v>45500</v>
      </c>
      <c r="G53" s="35" t="s">
        <v>1</v>
      </c>
      <c r="H53" s="34" t="s">
        <v>339</v>
      </c>
      <c r="I53" s="34" t="s">
        <v>733</v>
      </c>
      <c r="J53" s="22">
        <v>194037</v>
      </c>
      <c r="K53" s="30" t="s">
        <v>732</v>
      </c>
      <c r="L53" s="42" t="s">
        <v>445</v>
      </c>
      <c r="M53" s="35" t="s">
        <v>756</v>
      </c>
      <c r="N53" s="89" t="s">
        <v>760</v>
      </c>
      <c r="O53" s="74" t="s">
        <v>665</v>
      </c>
      <c r="P53" s="74" t="s">
        <v>666</v>
      </c>
    </row>
    <row r="54" spans="1:16" ht="25.05" customHeight="1">
      <c r="A54" s="48" t="s">
        <v>259</v>
      </c>
      <c r="B54" s="45" t="s">
        <v>386</v>
      </c>
      <c r="C54" s="20">
        <f t="shared" si="3"/>
        <v>45134</v>
      </c>
      <c r="D54" s="16" t="s">
        <v>762</v>
      </c>
      <c r="E54" s="22">
        <v>12</v>
      </c>
      <c r="F54" s="20">
        <f t="shared" si="1"/>
        <v>45500</v>
      </c>
      <c r="G54" s="35" t="s">
        <v>1</v>
      </c>
      <c r="H54" s="34" t="s">
        <v>339</v>
      </c>
      <c r="I54" s="34" t="s">
        <v>387</v>
      </c>
      <c r="J54" s="22">
        <v>194038</v>
      </c>
      <c r="K54" s="30" t="s">
        <v>590</v>
      </c>
      <c r="L54" s="42" t="s">
        <v>445</v>
      </c>
      <c r="M54" s="35" t="s">
        <v>756</v>
      </c>
      <c r="N54" s="89" t="s">
        <v>760</v>
      </c>
      <c r="O54" s="74" t="s">
        <v>665</v>
      </c>
      <c r="P54" s="74" t="s">
        <v>666</v>
      </c>
    </row>
    <row r="55" spans="1:16" ht="25.05" customHeight="1">
      <c r="A55" s="48" t="s">
        <v>260</v>
      </c>
      <c r="B55" s="45" t="s">
        <v>385</v>
      </c>
      <c r="C55" s="20">
        <f t="shared" si="3"/>
        <v>45134</v>
      </c>
      <c r="D55" s="16" t="s">
        <v>762</v>
      </c>
      <c r="E55" s="22">
        <v>12</v>
      </c>
      <c r="F55" s="20">
        <f t="shared" si="1"/>
        <v>45500</v>
      </c>
      <c r="G55" s="35" t="s">
        <v>1</v>
      </c>
      <c r="H55" s="34" t="s">
        <v>339</v>
      </c>
      <c r="I55" s="34" t="s">
        <v>735</v>
      </c>
      <c r="J55" s="22">
        <v>193465</v>
      </c>
      <c r="K55" s="30" t="s">
        <v>734</v>
      </c>
      <c r="L55" s="42" t="s">
        <v>445</v>
      </c>
      <c r="M55" s="35" t="s">
        <v>756</v>
      </c>
      <c r="N55" s="89" t="s">
        <v>760</v>
      </c>
      <c r="O55" s="74" t="s">
        <v>665</v>
      </c>
      <c r="P55" s="74" t="s">
        <v>666</v>
      </c>
    </row>
    <row r="56" spans="1:16" ht="25.05" customHeight="1">
      <c r="A56" s="48" t="s">
        <v>261</v>
      </c>
      <c r="B56" s="45" t="s">
        <v>386</v>
      </c>
      <c r="C56" s="20">
        <f t="shared" si="3"/>
        <v>45134</v>
      </c>
      <c r="D56" s="16" t="s">
        <v>762</v>
      </c>
      <c r="E56" s="22">
        <v>12</v>
      </c>
      <c r="F56" s="20">
        <f t="shared" si="1"/>
        <v>45500</v>
      </c>
      <c r="G56" s="35" t="s">
        <v>1</v>
      </c>
      <c r="H56" s="34" t="s">
        <v>339</v>
      </c>
      <c r="I56" s="34" t="s">
        <v>388</v>
      </c>
      <c r="J56" s="22">
        <v>193466</v>
      </c>
      <c r="K56" s="30" t="s">
        <v>452</v>
      </c>
      <c r="L56" s="42" t="s">
        <v>445</v>
      </c>
      <c r="M56" s="35" t="s">
        <v>756</v>
      </c>
      <c r="N56" s="89" t="s">
        <v>760</v>
      </c>
      <c r="O56" s="74" t="s">
        <v>665</v>
      </c>
      <c r="P56" s="74" t="s">
        <v>666</v>
      </c>
    </row>
    <row r="57" spans="1:16" ht="25.05" customHeight="1">
      <c r="A57" s="48" t="s">
        <v>262</v>
      </c>
      <c r="B57" s="45" t="s">
        <v>385</v>
      </c>
      <c r="C57" s="20">
        <f t="shared" si="3"/>
        <v>45134</v>
      </c>
      <c r="D57" s="16" t="s">
        <v>762</v>
      </c>
      <c r="E57" s="22">
        <v>12</v>
      </c>
      <c r="F57" s="20">
        <f t="shared" si="1"/>
        <v>45500</v>
      </c>
      <c r="G57" s="35" t="s">
        <v>1</v>
      </c>
      <c r="H57" s="34" t="s">
        <v>339</v>
      </c>
      <c r="I57" s="34" t="s">
        <v>599</v>
      </c>
      <c r="J57" s="22">
        <v>193467</v>
      </c>
      <c r="K57" s="30" t="s">
        <v>736</v>
      </c>
      <c r="L57" s="42" t="s">
        <v>445</v>
      </c>
      <c r="M57" s="35" t="s">
        <v>756</v>
      </c>
      <c r="N57" s="89" t="s">
        <v>760</v>
      </c>
      <c r="O57" s="74" t="s">
        <v>665</v>
      </c>
      <c r="P57" s="74" t="s">
        <v>666</v>
      </c>
    </row>
    <row r="58" spans="1:16" ht="25.05" customHeight="1">
      <c r="A58" s="48" t="s">
        <v>263</v>
      </c>
      <c r="B58" s="45" t="s">
        <v>386</v>
      </c>
      <c r="C58" s="20">
        <f t="shared" si="3"/>
        <v>45134</v>
      </c>
      <c r="D58" s="16" t="s">
        <v>762</v>
      </c>
      <c r="E58" s="22">
        <v>12</v>
      </c>
      <c r="F58" s="20">
        <f t="shared" si="1"/>
        <v>45500</v>
      </c>
      <c r="G58" s="35" t="s">
        <v>1</v>
      </c>
      <c r="H58" s="34" t="s">
        <v>339</v>
      </c>
      <c r="I58" s="34" t="s">
        <v>577</v>
      </c>
      <c r="J58" s="22">
        <v>193468</v>
      </c>
      <c r="K58" s="81" t="s">
        <v>755</v>
      </c>
      <c r="L58" s="42" t="s">
        <v>445</v>
      </c>
      <c r="M58" s="35" t="s">
        <v>756</v>
      </c>
      <c r="N58" s="89" t="s">
        <v>760</v>
      </c>
      <c r="O58" s="74" t="s">
        <v>665</v>
      </c>
      <c r="P58" s="74" t="s">
        <v>666</v>
      </c>
    </row>
    <row r="59" spans="1:16" ht="25.05" customHeight="1">
      <c r="A59" s="48" t="s">
        <v>674</v>
      </c>
      <c r="B59" s="45" t="s">
        <v>537</v>
      </c>
      <c r="C59" s="81" t="s">
        <v>755</v>
      </c>
      <c r="D59" s="16" t="s">
        <v>762</v>
      </c>
      <c r="E59" s="81" t="s">
        <v>755</v>
      </c>
      <c r="F59" s="81" t="s">
        <v>755</v>
      </c>
      <c r="G59" s="81" t="s">
        <v>755</v>
      </c>
      <c r="H59" s="45" t="s">
        <v>675</v>
      </c>
      <c r="I59" s="45">
        <v>90</v>
      </c>
      <c r="J59" s="28" t="s">
        <v>525</v>
      </c>
      <c r="K59" s="28" t="s">
        <v>522</v>
      </c>
      <c r="L59" s="42" t="s">
        <v>445</v>
      </c>
      <c r="M59" s="66" t="s">
        <v>757</v>
      </c>
      <c r="N59" s="89" t="s">
        <v>760</v>
      </c>
      <c r="O59" s="74" t="s">
        <v>665</v>
      </c>
      <c r="P59" s="74" t="s">
        <v>666</v>
      </c>
    </row>
    <row r="60" spans="1:16" ht="25.05" customHeight="1">
      <c r="A60" s="48" t="s">
        <v>264</v>
      </c>
      <c r="B60" s="45" t="s">
        <v>537</v>
      </c>
      <c r="C60" s="81" t="s">
        <v>755</v>
      </c>
      <c r="D60" s="16" t="s">
        <v>762</v>
      </c>
      <c r="E60" s="81" t="s">
        <v>755</v>
      </c>
      <c r="F60" s="81" t="s">
        <v>755</v>
      </c>
      <c r="G60" s="81" t="s">
        <v>755</v>
      </c>
      <c r="H60" s="45" t="s">
        <v>675</v>
      </c>
      <c r="I60" s="45">
        <v>70</v>
      </c>
      <c r="J60" s="81" t="s">
        <v>755</v>
      </c>
      <c r="K60" s="28" t="s">
        <v>523</v>
      </c>
      <c r="L60" s="42" t="s">
        <v>445</v>
      </c>
      <c r="M60" s="66" t="s">
        <v>757</v>
      </c>
      <c r="N60" s="89" t="s">
        <v>760</v>
      </c>
      <c r="O60" s="74" t="s">
        <v>665</v>
      </c>
      <c r="P60" s="74" t="s">
        <v>666</v>
      </c>
    </row>
    <row r="61" spans="1:16" ht="25.05" customHeight="1">
      <c r="A61" s="48" t="s">
        <v>265</v>
      </c>
      <c r="B61" s="45" t="s">
        <v>537</v>
      </c>
      <c r="C61" s="81" t="s">
        <v>755</v>
      </c>
      <c r="D61" s="16" t="s">
        <v>762</v>
      </c>
      <c r="E61" s="81" t="s">
        <v>755</v>
      </c>
      <c r="F61" s="81" t="s">
        <v>755</v>
      </c>
      <c r="G61" s="81" t="s">
        <v>755</v>
      </c>
      <c r="H61" s="45" t="s">
        <v>675</v>
      </c>
      <c r="I61" s="45">
        <v>50</v>
      </c>
      <c r="J61" s="28" t="s">
        <v>521</v>
      </c>
      <c r="K61" s="28" t="s">
        <v>524</v>
      </c>
      <c r="L61" s="42" t="s">
        <v>445</v>
      </c>
      <c r="M61" s="66" t="s">
        <v>757</v>
      </c>
      <c r="N61" s="89" t="s">
        <v>760</v>
      </c>
      <c r="O61" s="74" t="s">
        <v>665</v>
      </c>
      <c r="P61" s="74" t="s">
        <v>666</v>
      </c>
    </row>
    <row r="62" spans="1:16" ht="25.05" customHeight="1">
      <c r="A62" s="48" t="s">
        <v>266</v>
      </c>
      <c r="B62" s="45" t="s">
        <v>389</v>
      </c>
      <c r="C62" s="53">
        <f>DATE(2023,7,25)</f>
        <v>45132</v>
      </c>
      <c r="D62" s="16" t="s">
        <v>762</v>
      </c>
      <c r="E62" s="28">
        <v>12</v>
      </c>
      <c r="F62" s="20">
        <f>EDATE(C62,12)</f>
        <v>45498</v>
      </c>
      <c r="G62" s="35" t="s">
        <v>578</v>
      </c>
      <c r="H62" s="40" t="s">
        <v>390</v>
      </c>
      <c r="I62" s="34" t="s">
        <v>533</v>
      </c>
      <c r="J62" s="81" t="s">
        <v>755</v>
      </c>
      <c r="K62" s="28" t="s">
        <v>536</v>
      </c>
      <c r="L62" s="42" t="s">
        <v>445</v>
      </c>
      <c r="M62" s="63" t="s">
        <v>756</v>
      </c>
      <c r="N62" s="89" t="s">
        <v>760</v>
      </c>
      <c r="O62" s="74" t="s">
        <v>665</v>
      </c>
      <c r="P62" s="74" t="s">
        <v>666</v>
      </c>
    </row>
    <row r="63" spans="1:16" ht="25.05" customHeight="1">
      <c r="A63" s="48" t="s">
        <v>267</v>
      </c>
      <c r="B63" s="45" t="s">
        <v>389</v>
      </c>
      <c r="C63" s="53">
        <f>DATE(2023,7,25)</f>
        <v>45132</v>
      </c>
      <c r="D63" s="16" t="s">
        <v>762</v>
      </c>
      <c r="E63" s="28">
        <v>12</v>
      </c>
      <c r="F63" s="20">
        <f>EDATE(C63,12)</f>
        <v>45498</v>
      </c>
      <c r="G63" s="35" t="s">
        <v>578</v>
      </c>
      <c r="H63" s="40" t="s">
        <v>390</v>
      </c>
      <c r="I63" s="34" t="s">
        <v>534</v>
      </c>
      <c r="J63" s="81" t="s">
        <v>755</v>
      </c>
      <c r="K63" s="28" t="s">
        <v>535</v>
      </c>
      <c r="L63" s="42" t="s">
        <v>445</v>
      </c>
      <c r="M63" s="28" t="s">
        <v>756</v>
      </c>
      <c r="N63" s="89" t="s">
        <v>760</v>
      </c>
      <c r="O63" s="74" t="s">
        <v>665</v>
      </c>
      <c r="P63" s="74" t="s">
        <v>666</v>
      </c>
    </row>
    <row r="64" spans="1:16" ht="25.05" customHeight="1">
      <c r="A64" s="50" t="s">
        <v>268</v>
      </c>
      <c r="B64" s="34" t="s">
        <v>341</v>
      </c>
      <c r="C64" s="81" t="s">
        <v>755</v>
      </c>
      <c r="D64" s="16" t="s">
        <v>762</v>
      </c>
      <c r="E64" s="81" t="s">
        <v>755</v>
      </c>
      <c r="F64" s="81" t="s">
        <v>755</v>
      </c>
      <c r="G64" s="81" t="s">
        <v>755</v>
      </c>
      <c r="H64" s="34" t="s">
        <v>342</v>
      </c>
      <c r="I64" s="34" t="s">
        <v>425</v>
      </c>
      <c r="J64" s="81" t="s">
        <v>755</v>
      </c>
      <c r="K64" s="32" t="s">
        <v>473</v>
      </c>
      <c r="L64" s="42" t="s">
        <v>445</v>
      </c>
      <c r="M64" s="67" t="s">
        <v>757</v>
      </c>
      <c r="N64" s="89" t="s">
        <v>760</v>
      </c>
      <c r="O64" s="74" t="s">
        <v>665</v>
      </c>
      <c r="P64" s="74" t="s">
        <v>666</v>
      </c>
    </row>
    <row r="65" spans="1:16" ht="25.05" customHeight="1">
      <c r="A65" s="50" t="s">
        <v>269</v>
      </c>
      <c r="B65" s="34" t="s">
        <v>341</v>
      </c>
      <c r="C65" s="81" t="s">
        <v>755</v>
      </c>
      <c r="D65" s="16" t="s">
        <v>762</v>
      </c>
      <c r="E65" s="81" t="s">
        <v>755</v>
      </c>
      <c r="F65" s="81" t="s">
        <v>755</v>
      </c>
      <c r="G65" s="81" t="s">
        <v>755</v>
      </c>
      <c r="H65" s="34" t="s">
        <v>342</v>
      </c>
      <c r="I65" s="34" t="s">
        <v>426</v>
      </c>
      <c r="J65" s="81" t="s">
        <v>755</v>
      </c>
      <c r="K65" s="32" t="s">
        <v>472</v>
      </c>
      <c r="L65" s="42" t="s">
        <v>445</v>
      </c>
      <c r="M65" s="67" t="s">
        <v>757</v>
      </c>
      <c r="N65" s="89" t="s">
        <v>760</v>
      </c>
      <c r="O65" s="74" t="s">
        <v>665</v>
      </c>
      <c r="P65" s="74" t="s">
        <v>666</v>
      </c>
    </row>
    <row r="66" spans="1:16" ht="25.05" customHeight="1">
      <c r="A66" s="50" t="s">
        <v>270</v>
      </c>
      <c r="B66" s="34" t="s">
        <v>341</v>
      </c>
      <c r="C66" s="81" t="s">
        <v>755</v>
      </c>
      <c r="D66" s="16" t="s">
        <v>762</v>
      </c>
      <c r="E66" s="81" t="s">
        <v>755</v>
      </c>
      <c r="F66" s="81" t="s">
        <v>755</v>
      </c>
      <c r="G66" s="81" t="s">
        <v>755</v>
      </c>
      <c r="H66" s="34" t="s">
        <v>342</v>
      </c>
      <c r="I66" s="34" t="s">
        <v>427</v>
      </c>
      <c r="J66" s="81" t="s">
        <v>755</v>
      </c>
      <c r="K66" s="32" t="s">
        <v>471</v>
      </c>
      <c r="L66" s="42" t="s">
        <v>445</v>
      </c>
      <c r="M66" s="67" t="s">
        <v>757</v>
      </c>
      <c r="N66" s="89" t="s">
        <v>760</v>
      </c>
      <c r="O66" s="74" t="s">
        <v>665</v>
      </c>
      <c r="P66" s="74" t="s">
        <v>666</v>
      </c>
    </row>
    <row r="67" spans="1:16" ht="25.05" customHeight="1">
      <c r="A67" s="50" t="s">
        <v>271</v>
      </c>
      <c r="B67" s="34" t="s">
        <v>341</v>
      </c>
      <c r="C67" s="81" t="s">
        <v>755</v>
      </c>
      <c r="D67" s="16" t="s">
        <v>762</v>
      </c>
      <c r="E67" s="81" t="s">
        <v>755</v>
      </c>
      <c r="F67" s="81" t="s">
        <v>755</v>
      </c>
      <c r="G67" s="81" t="s">
        <v>755</v>
      </c>
      <c r="H67" s="34" t="s">
        <v>342</v>
      </c>
      <c r="I67" s="34" t="s">
        <v>428</v>
      </c>
      <c r="J67" s="81" t="s">
        <v>755</v>
      </c>
      <c r="K67" s="31" t="s">
        <v>470</v>
      </c>
      <c r="L67" s="42" t="s">
        <v>445</v>
      </c>
      <c r="M67" s="67" t="s">
        <v>757</v>
      </c>
      <c r="N67" s="89" t="s">
        <v>760</v>
      </c>
      <c r="O67" s="74" t="s">
        <v>665</v>
      </c>
      <c r="P67" s="74" t="s">
        <v>666</v>
      </c>
    </row>
    <row r="68" spans="1:16" ht="25.05" customHeight="1">
      <c r="A68" s="50" t="s">
        <v>272</v>
      </c>
      <c r="B68" s="34" t="s">
        <v>341</v>
      </c>
      <c r="C68" s="81" t="s">
        <v>755</v>
      </c>
      <c r="D68" s="16" t="s">
        <v>762</v>
      </c>
      <c r="E68" s="81" t="s">
        <v>755</v>
      </c>
      <c r="F68" s="81" t="s">
        <v>755</v>
      </c>
      <c r="G68" s="81" t="s">
        <v>755</v>
      </c>
      <c r="H68" s="34" t="s">
        <v>342</v>
      </c>
      <c r="I68" s="34" t="s">
        <v>429</v>
      </c>
      <c r="J68" s="81" t="s">
        <v>755</v>
      </c>
      <c r="K68" s="31" t="s">
        <v>469</v>
      </c>
      <c r="L68" s="42" t="s">
        <v>445</v>
      </c>
      <c r="M68" s="67" t="s">
        <v>757</v>
      </c>
      <c r="N68" s="89" t="s">
        <v>760</v>
      </c>
      <c r="O68" s="74" t="s">
        <v>665</v>
      </c>
      <c r="P68" s="74" t="s">
        <v>666</v>
      </c>
    </row>
    <row r="69" spans="1:16" ht="25.05" customHeight="1">
      <c r="A69" s="50" t="s">
        <v>273</v>
      </c>
      <c r="B69" s="34" t="s">
        <v>341</v>
      </c>
      <c r="C69" s="81" t="s">
        <v>755</v>
      </c>
      <c r="D69" s="16" t="s">
        <v>762</v>
      </c>
      <c r="E69" s="81" t="s">
        <v>755</v>
      </c>
      <c r="F69" s="81" t="s">
        <v>755</v>
      </c>
      <c r="G69" s="81" t="s">
        <v>755</v>
      </c>
      <c r="H69" s="34" t="s">
        <v>342</v>
      </c>
      <c r="I69" s="34" t="s">
        <v>430</v>
      </c>
      <c r="J69" s="81" t="s">
        <v>755</v>
      </c>
      <c r="K69" s="31" t="s">
        <v>468</v>
      </c>
      <c r="L69" s="42" t="s">
        <v>445</v>
      </c>
      <c r="M69" s="67" t="s">
        <v>757</v>
      </c>
      <c r="N69" s="89" t="s">
        <v>760</v>
      </c>
      <c r="O69" s="74" t="s">
        <v>665</v>
      </c>
      <c r="P69" s="74" t="s">
        <v>666</v>
      </c>
    </row>
    <row r="70" spans="1:16" ht="25.05" customHeight="1">
      <c r="A70" s="50" t="s">
        <v>274</v>
      </c>
      <c r="B70" s="34" t="s">
        <v>341</v>
      </c>
      <c r="C70" s="81" t="s">
        <v>755</v>
      </c>
      <c r="D70" s="16" t="s">
        <v>762</v>
      </c>
      <c r="E70" s="81" t="s">
        <v>755</v>
      </c>
      <c r="F70" s="81" t="s">
        <v>755</v>
      </c>
      <c r="G70" s="81" t="s">
        <v>755</v>
      </c>
      <c r="H70" s="34" t="s">
        <v>342</v>
      </c>
      <c r="I70" s="34" t="s">
        <v>431</v>
      </c>
      <c r="J70" s="81" t="s">
        <v>755</v>
      </c>
      <c r="K70" s="31" t="s">
        <v>474</v>
      </c>
      <c r="L70" s="42" t="s">
        <v>445</v>
      </c>
      <c r="M70" s="67" t="s">
        <v>757</v>
      </c>
      <c r="N70" s="89" t="s">
        <v>760</v>
      </c>
      <c r="O70" s="74" t="s">
        <v>665</v>
      </c>
      <c r="P70" s="74" t="s">
        <v>666</v>
      </c>
    </row>
    <row r="71" spans="1:16" ht="25.05" customHeight="1">
      <c r="A71" s="50" t="s">
        <v>275</v>
      </c>
      <c r="B71" s="34" t="s">
        <v>343</v>
      </c>
      <c r="C71" s="81" t="s">
        <v>755</v>
      </c>
      <c r="D71" s="16" t="s">
        <v>762</v>
      </c>
      <c r="E71" s="81" t="s">
        <v>755</v>
      </c>
      <c r="F71" s="81" t="s">
        <v>755</v>
      </c>
      <c r="G71" s="81" t="s">
        <v>755</v>
      </c>
      <c r="H71" s="34" t="s">
        <v>444</v>
      </c>
      <c r="I71" s="34" t="s">
        <v>432</v>
      </c>
      <c r="J71" s="81" t="s">
        <v>755</v>
      </c>
      <c r="K71" s="31" t="s">
        <v>475</v>
      </c>
      <c r="L71" s="42" t="s">
        <v>445</v>
      </c>
      <c r="M71" s="67" t="s">
        <v>757</v>
      </c>
      <c r="N71" s="89" t="s">
        <v>760</v>
      </c>
      <c r="O71" s="74" t="s">
        <v>665</v>
      </c>
      <c r="P71" s="74" t="s">
        <v>666</v>
      </c>
    </row>
    <row r="72" spans="1:16" ht="25.05" customHeight="1">
      <c r="A72" s="50" t="s">
        <v>276</v>
      </c>
      <c r="B72" s="34" t="s">
        <v>343</v>
      </c>
      <c r="C72" s="81" t="s">
        <v>755</v>
      </c>
      <c r="D72" s="16" t="s">
        <v>762</v>
      </c>
      <c r="E72" s="81" t="s">
        <v>755</v>
      </c>
      <c r="F72" s="81" t="s">
        <v>755</v>
      </c>
      <c r="G72" s="81" t="s">
        <v>755</v>
      </c>
      <c r="H72" s="34" t="s">
        <v>444</v>
      </c>
      <c r="I72" s="34" t="s">
        <v>332</v>
      </c>
      <c r="J72" s="81" t="s">
        <v>755</v>
      </c>
      <c r="K72" s="31" t="s">
        <v>476</v>
      </c>
      <c r="L72" s="42" t="s">
        <v>445</v>
      </c>
      <c r="M72" s="67" t="s">
        <v>757</v>
      </c>
      <c r="N72" s="89" t="s">
        <v>760</v>
      </c>
      <c r="O72" s="74" t="s">
        <v>665</v>
      </c>
      <c r="P72" s="74" t="s">
        <v>666</v>
      </c>
    </row>
    <row r="73" spans="1:16" ht="25.05" customHeight="1">
      <c r="A73" s="50" t="s">
        <v>277</v>
      </c>
      <c r="B73" s="34" t="s">
        <v>343</v>
      </c>
      <c r="C73" s="81" t="s">
        <v>755</v>
      </c>
      <c r="D73" s="16" t="s">
        <v>762</v>
      </c>
      <c r="E73" s="81" t="s">
        <v>755</v>
      </c>
      <c r="F73" s="81" t="s">
        <v>755</v>
      </c>
      <c r="G73" s="81" t="s">
        <v>755</v>
      </c>
      <c r="H73" s="34" t="s">
        <v>444</v>
      </c>
      <c r="I73" s="34" t="s">
        <v>433</v>
      </c>
      <c r="J73" s="81" t="s">
        <v>755</v>
      </c>
      <c r="K73" s="31" t="s">
        <v>477</v>
      </c>
      <c r="L73" s="42" t="s">
        <v>445</v>
      </c>
      <c r="M73" s="67" t="s">
        <v>757</v>
      </c>
      <c r="N73" s="89" t="s">
        <v>760</v>
      </c>
      <c r="O73" s="74" t="s">
        <v>665</v>
      </c>
      <c r="P73" s="74" t="s">
        <v>666</v>
      </c>
    </row>
    <row r="74" spans="1:16" ht="25.05" customHeight="1">
      <c r="A74" s="50" t="s">
        <v>278</v>
      </c>
      <c r="B74" s="34" t="s">
        <v>343</v>
      </c>
      <c r="C74" s="81" t="s">
        <v>755</v>
      </c>
      <c r="D74" s="16" t="s">
        <v>762</v>
      </c>
      <c r="E74" s="81" t="s">
        <v>755</v>
      </c>
      <c r="F74" s="81" t="s">
        <v>755</v>
      </c>
      <c r="G74" s="81" t="s">
        <v>755</v>
      </c>
      <c r="H74" s="34" t="s">
        <v>444</v>
      </c>
      <c r="I74" s="34" t="s">
        <v>434</v>
      </c>
      <c r="J74" s="81" t="s">
        <v>755</v>
      </c>
      <c r="K74" s="32" t="s">
        <v>478</v>
      </c>
      <c r="L74" s="42" t="s">
        <v>445</v>
      </c>
      <c r="M74" s="67" t="s">
        <v>757</v>
      </c>
      <c r="N74" s="89" t="s">
        <v>760</v>
      </c>
      <c r="O74" s="74" t="s">
        <v>665</v>
      </c>
      <c r="P74" s="74" t="s">
        <v>666</v>
      </c>
    </row>
    <row r="75" spans="1:16" ht="25.05" customHeight="1">
      <c r="A75" s="50" t="s">
        <v>279</v>
      </c>
      <c r="B75" s="34" t="s">
        <v>343</v>
      </c>
      <c r="C75" s="81" t="s">
        <v>755</v>
      </c>
      <c r="D75" s="16" t="s">
        <v>762</v>
      </c>
      <c r="E75" s="81" t="s">
        <v>755</v>
      </c>
      <c r="F75" s="81" t="s">
        <v>755</v>
      </c>
      <c r="G75" s="81" t="s">
        <v>755</v>
      </c>
      <c r="H75" s="34" t="s">
        <v>444</v>
      </c>
      <c r="I75" s="34" t="s">
        <v>333</v>
      </c>
      <c r="J75" s="81" t="s">
        <v>755</v>
      </c>
      <c r="K75" s="32" t="s">
        <v>479</v>
      </c>
      <c r="L75" s="42" t="s">
        <v>445</v>
      </c>
      <c r="M75" s="67" t="s">
        <v>757</v>
      </c>
      <c r="N75" s="89" t="s">
        <v>760</v>
      </c>
      <c r="O75" s="74" t="s">
        <v>665</v>
      </c>
      <c r="P75" s="74" t="s">
        <v>666</v>
      </c>
    </row>
    <row r="76" spans="1:16" ht="25.05" customHeight="1">
      <c r="A76" s="50" t="s">
        <v>280</v>
      </c>
      <c r="B76" s="34" t="s">
        <v>343</v>
      </c>
      <c r="C76" s="81" t="s">
        <v>755</v>
      </c>
      <c r="D76" s="16" t="s">
        <v>762</v>
      </c>
      <c r="E76" s="81" t="s">
        <v>755</v>
      </c>
      <c r="F76" s="81" t="s">
        <v>755</v>
      </c>
      <c r="G76" s="81" t="s">
        <v>755</v>
      </c>
      <c r="H76" s="34" t="s">
        <v>444</v>
      </c>
      <c r="I76" s="34" t="s">
        <v>435</v>
      </c>
      <c r="J76" s="81" t="s">
        <v>755</v>
      </c>
      <c r="K76" s="32" t="s">
        <v>480</v>
      </c>
      <c r="L76" s="42" t="s">
        <v>445</v>
      </c>
      <c r="M76" s="67" t="s">
        <v>757</v>
      </c>
      <c r="N76" s="89" t="s">
        <v>760</v>
      </c>
      <c r="O76" s="74" t="s">
        <v>665</v>
      </c>
      <c r="P76" s="74" t="s">
        <v>666</v>
      </c>
    </row>
    <row r="77" spans="1:16" ht="25.05" customHeight="1">
      <c r="A77" s="50" t="s">
        <v>281</v>
      </c>
      <c r="B77" s="34" t="s">
        <v>343</v>
      </c>
      <c r="C77" s="81" t="s">
        <v>755</v>
      </c>
      <c r="D77" s="16" t="s">
        <v>762</v>
      </c>
      <c r="E77" s="81" t="s">
        <v>755</v>
      </c>
      <c r="F77" s="81" t="s">
        <v>755</v>
      </c>
      <c r="G77" s="81" t="s">
        <v>755</v>
      </c>
      <c r="H77" s="34" t="s">
        <v>444</v>
      </c>
      <c r="I77" s="34" t="s">
        <v>436</v>
      </c>
      <c r="J77" s="81" t="s">
        <v>755</v>
      </c>
      <c r="K77" s="32" t="s">
        <v>481</v>
      </c>
      <c r="L77" s="42" t="s">
        <v>445</v>
      </c>
      <c r="M77" s="67" t="s">
        <v>757</v>
      </c>
      <c r="N77" s="89" t="s">
        <v>760</v>
      </c>
      <c r="O77" s="74" t="s">
        <v>665</v>
      </c>
      <c r="P77" s="74" t="s">
        <v>666</v>
      </c>
    </row>
    <row r="78" spans="1:16" ht="25.05" customHeight="1">
      <c r="A78" s="50" t="s">
        <v>282</v>
      </c>
      <c r="B78" s="34" t="s">
        <v>343</v>
      </c>
      <c r="C78" s="81" t="s">
        <v>755</v>
      </c>
      <c r="D78" s="16" t="s">
        <v>762</v>
      </c>
      <c r="E78" s="81" t="s">
        <v>755</v>
      </c>
      <c r="F78" s="81" t="s">
        <v>755</v>
      </c>
      <c r="G78" s="81" t="s">
        <v>755</v>
      </c>
      <c r="H78" s="34" t="s">
        <v>444</v>
      </c>
      <c r="I78" s="34" t="s">
        <v>330</v>
      </c>
      <c r="J78" s="81" t="s">
        <v>755</v>
      </c>
      <c r="K78" s="31" t="s">
        <v>482</v>
      </c>
      <c r="L78" s="42" t="s">
        <v>445</v>
      </c>
      <c r="M78" s="67" t="s">
        <v>757</v>
      </c>
      <c r="N78" s="89" t="s">
        <v>760</v>
      </c>
      <c r="O78" s="74" t="s">
        <v>665</v>
      </c>
      <c r="P78" s="74" t="s">
        <v>666</v>
      </c>
    </row>
    <row r="79" spans="1:16" ht="25.05" customHeight="1">
      <c r="A79" s="50" t="s">
        <v>283</v>
      </c>
      <c r="B79" s="34" t="s">
        <v>343</v>
      </c>
      <c r="C79" s="81" t="s">
        <v>755</v>
      </c>
      <c r="D79" s="16" t="s">
        <v>762</v>
      </c>
      <c r="E79" s="81" t="s">
        <v>755</v>
      </c>
      <c r="F79" s="81" t="s">
        <v>755</v>
      </c>
      <c r="G79" s="81" t="s">
        <v>755</v>
      </c>
      <c r="H79" s="34" t="s">
        <v>444</v>
      </c>
      <c r="I79" s="34" t="s">
        <v>437</v>
      </c>
      <c r="J79" s="81" t="s">
        <v>755</v>
      </c>
      <c r="K79" s="31" t="s">
        <v>483</v>
      </c>
      <c r="L79" s="42" t="s">
        <v>445</v>
      </c>
      <c r="M79" s="67" t="s">
        <v>757</v>
      </c>
      <c r="N79" s="89" t="s">
        <v>760</v>
      </c>
      <c r="O79" s="74" t="s">
        <v>665</v>
      </c>
      <c r="P79" s="74" t="s">
        <v>666</v>
      </c>
    </row>
    <row r="80" spans="1:16" ht="25.05" customHeight="1">
      <c r="A80" s="50" t="s">
        <v>284</v>
      </c>
      <c r="B80" s="34" t="s">
        <v>343</v>
      </c>
      <c r="C80" s="81" t="s">
        <v>755</v>
      </c>
      <c r="D80" s="16" t="s">
        <v>762</v>
      </c>
      <c r="E80" s="81" t="s">
        <v>755</v>
      </c>
      <c r="F80" s="81" t="s">
        <v>755</v>
      </c>
      <c r="G80" s="81" t="s">
        <v>755</v>
      </c>
      <c r="H80" s="34" t="s">
        <v>444</v>
      </c>
      <c r="I80" s="34" t="s">
        <v>331</v>
      </c>
      <c r="J80" s="81" t="s">
        <v>755</v>
      </c>
      <c r="K80" s="31" t="s">
        <v>484</v>
      </c>
      <c r="L80" s="42" t="s">
        <v>445</v>
      </c>
      <c r="M80" s="67" t="s">
        <v>757</v>
      </c>
      <c r="N80" s="89" t="s">
        <v>760</v>
      </c>
      <c r="O80" s="74" t="s">
        <v>665</v>
      </c>
      <c r="P80" s="74" t="s">
        <v>666</v>
      </c>
    </row>
    <row r="81" spans="1:16" ht="25.05" customHeight="1">
      <c r="A81" s="50" t="s">
        <v>285</v>
      </c>
      <c r="B81" s="34" t="s">
        <v>343</v>
      </c>
      <c r="C81" s="81" t="s">
        <v>755</v>
      </c>
      <c r="D81" s="16" t="s">
        <v>762</v>
      </c>
      <c r="E81" s="81" t="s">
        <v>755</v>
      </c>
      <c r="F81" s="81" t="s">
        <v>755</v>
      </c>
      <c r="G81" s="81" t="s">
        <v>755</v>
      </c>
      <c r="H81" s="34" t="s">
        <v>444</v>
      </c>
      <c r="I81" s="34" t="s">
        <v>438</v>
      </c>
      <c r="J81" s="81" t="s">
        <v>755</v>
      </c>
      <c r="K81" s="31" t="s">
        <v>485</v>
      </c>
      <c r="L81" s="42" t="s">
        <v>445</v>
      </c>
      <c r="M81" s="67" t="s">
        <v>757</v>
      </c>
      <c r="N81" s="89" t="s">
        <v>760</v>
      </c>
      <c r="O81" s="74" t="s">
        <v>665</v>
      </c>
      <c r="P81" s="74" t="s">
        <v>666</v>
      </c>
    </row>
    <row r="82" spans="1:16" ht="25.05" customHeight="1">
      <c r="A82" s="50" t="s">
        <v>286</v>
      </c>
      <c r="B82" s="34" t="s">
        <v>343</v>
      </c>
      <c r="C82" s="81" t="s">
        <v>755</v>
      </c>
      <c r="D82" s="16" t="s">
        <v>762</v>
      </c>
      <c r="E82" s="81" t="s">
        <v>755</v>
      </c>
      <c r="F82" s="81" t="s">
        <v>755</v>
      </c>
      <c r="G82" s="81" t="s">
        <v>755</v>
      </c>
      <c r="H82" s="34" t="s">
        <v>444</v>
      </c>
      <c r="I82" s="34" t="s">
        <v>334</v>
      </c>
      <c r="J82" s="81" t="s">
        <v>755</v>
      </c>
      <c r="K82" s="31" t="s">
        <v>487</v>
      </c>
      <c r="L82" s="42" t="s">
        <v>445</v>
      </c>
      <c r="M82" s="67" t="s">
        <v>757</v>
      </c>
      <c r="N82" s="89" t="s">
        <v>760</v>
      </c>
      <c r="O82" s="74" t="s">
        <v>665</v>
      </c>
      <c r="P82" s="74" t="s">
        <v>666</v>
      </c>
    </row>
    <row r="83" spans="1:16" ht="25.05" customHeight="1">
      <c r="A83" s="50" t="s">
        <v>287</v>
      </c>
      <c r="B83" s="34" t="s">
        <v>343</v>
      </c>
      <c r="C83" s="81" t="s">
        <v>755</v>
      </c>
      <c r="D83" s="16" t="s">
        <v>762</v>
      </c>
      <c r="E83" s="81" t="s">
        <v>755</v>
      </c>
      <c r="F83" s="81" t="s">
        <v>755</v>
      </c>
      <c r="G83" s="81" t="s">
        <v>755</v>
      </c>
      <c r="H83" s="34" t="s">
        <v>444</v>
      </c>
      <c r="I83" s="34" t="s">
        <v>335</v>
      </c>
      <c r="J83" s="81" t="s">
        <v>755</v>
      </c>
      <c r="K83" s="31" t="s">
        <v>488</v>
      </c>
      <c r="L83" s="42" t="s">
        <v>445</v>
      </c>
      <c r="M83" s="67" t="s">
        <v>757</v>
      </c>
      <c r="N83" s="89" t="s">
        <v>760</v>
      </c>
      <c r="O83" s="74" t="s">
        <v>665</v>
      </c>
      <c r="P83" s="74" t="s">
        <v>666</v>
      </c>
    </row>
    <row r="84" spans="1:16" ht="25.05" customHeight="1">
      <c r="A84" s="50" t="s">
        <v>288</v>
      </c>
      <c r="B84" s="34" t="s">
        <v>343</v>
      </c>
      <c r="C84" s="81" t="s">
        <v>755</v>
      </c>
      <c r="D84" s="16" t="s">
        <v>762</v>
      </c>
      <c r="E84" s="81" t="s">
        <v>755</v>
      </c>
      <c r="F84" s="81" t="s">
        <v>755</v>
      </c>
      <c r="G84" s="81" t="s">
        <v>755</v>
      </c>
      <c r="H84" s="34" t="s">
        <v>444</v>
      </c>
      <c r="I84" s="34" t="s">
        <v>336</v>
      </c>
      <c r="J84" s="81" t="s">
        <v>755</v>
      </c>
      <c r="K84" s="31" t="s">
        <v>486</v>
      </c>
      <c r="L84" s="42" t="s">
        <v>445</v>
      </c>
      <c r="M84" s="67" t="s">
        <v>757</v>
      </c>
      <c r="N84" s="89" t="s">
        <v>760</v>
      </c>
      <c r="O84" s="74" t="s">
        <v>665</v>
      </c>
      <c r="P84" s="74" t="s">
        <v>666</v>
      </c>
    </row>
    <row r="85" spans="1:16" ht="25.05" customHeight="1">
      <c r="A85" s="50" t="s">
        <v>289</v>
      </c>
      <c r="B85" s="34" t="s">
        <v>343</v>
      </c>
      <c r="C85" s="81" t="s">
        <v>755</v>
      </c>
      <c r="D85" s="16" t="s">
        <v>762</v>
      </c>
      <c r="E85" s="81" t="s">
        <v>755</v>
      </c>
      <c r="F85" s="81" t="s">
        <v>755</v>
      </c>
      <c r="G85" s="81" t="s">
        <v>755</v>
      </c>
      <c r="H85" s="34" t="s">
        <v>444</v>
      </c>
      <c r="I85" s="34" t="s">
        <v>439</v>
      </c>
      <c r="J85" s="81" t="s">
        <v>755</v>
      </c>
      <c r="K85" s="31" t="s">
        <v>489</v>
      </c>
      <c r="L85" s="42" t="s">
        <v>445</v>
      </c>
      <c r="M85" s="67" t="s">
        <v>757</v>
      </c>
      <c r="N85" s="89" t="s">
        <v>760</v>
      </c>
      <c r="O85" s="74" t="s">
        <v>665</v>
      </c>
      <c r="P85" s="74" t="s">
        <v>666</v>
      </c>
    </row>
    <row r="86" spans="1:16" ht="25.05" customHeight="1">
      <c r="A86" s="50" t="s">
        <v>290</v>
      </c>
      <c r="B86" s="34" t="s">
        <v>343</v>
      </c>
      <c r="C86" s="81" t="s">
        <v>755</v>
      </c>
      <c r="D86" s="16" t="s">
        <v>762</v>
      </c>
      <c r="E86" s="81" t="s">
        <v>755</v>
      </c>
      <c r="F86" s="81" t="s">
        <v>755</v>
      </c>
      <c r="G86" s="81" t="s">
        <v>755</v>
      </c>
      <c r="H86" s="34" t="s">
        <v>444</v>
      </c>
      <c r="I86" s="34" t="s">
        <v>440</v>
      </c>
      <c r="J86" s="81" t="s">
        <v>755</v>
      </c>
      <c r="K86" s="31" t="s">
        <v>490</v>
      </c>
      <c r="L86" s="42" t="s">
        <v>445</v>
      </c>
      <c r="M86" s="67" t="s">
        <v>757</v>
      </c>
      <c r="N86" s="89" t="s">
        <v>760</v>
      </c>
      <c r="O86" s="74" t="s">
        <v>665</v>
      </c>
      <c r="P86" s="74" t="s">
        <v>666</v>
      </c>
    </row>
    <row r="87" spans="1:16" ht="25.05" customHeight="1">
      <c r="A87" s="50" t="s">
        <v>291</v>
      </c>
      <c r="B87" s="34" t="s">
        <v>343</v>
      </c>
      <c r="C87" s="81" t="s">
        <v>755</v>
      </c>
      <c r="D87" s="16" t="s">
        <v>762</v>
      </c>
      <c r="E87" s="81" t="s">
        <v>755</v>
      </c>
      <c r="F87" s="81" t="s">
        <v>755</v>
      </c>
      <c r="G87" s="81" t="s">
        <v>755</v>
      </c>
      <c r="H87" s="34" t="s">
        <v>444</v>
      </c>
      <c r="I87" s="34" t="s">
        <v>441</v>
      </c>
      <c r="J87" s="81" t="s">
        <v>755</v>
      </c>
      <c r="K87" s="31" t="s">
        <v>491</v>
      </c>
      <c r="L87" s="42" t="s">
        <v>445</v>
      </c>
      <c r="M87" s="67" t="s">
        <v>757</v>
      </c>
      <c r="N87" s="89" t="s">
        <v>760</v>
      </c>
      <c r="O87" s="74" t="s">
        <v>665</v>
      </c>
      <c r="P87" s="74" t="s">
        <v>666</v>
      </c>
    </row>
    <row r="88" spans="1:16" ht="25.05" customHeight="1">
      <c r="A88" s="50" t="s">
        <v>292</v>
      </c>
      <c r="B88" s="34" t="s">
        <v>343</v>
      </c>
      <c r="C88" s="81" t="s">
        <v>755</v>
      </c>
      <c r="D88" s="16" t="s">
        <v>762</v>
      </c>
      <c r="E88" s="81" t="s">
        <v>755</v>
      </c>
      <c r="F88" s="81" t="s">
        <v>755</v>
      </c>
      <c r="G88" s="81" t="s">
        <v>755</v>
      </c>
      <c r="H88" s="34" t="s">
        <v>444</v>
      </c>
      <c r="I88" s="34" t="s">
        <v>442</v>
      </c>
      <c r="J88" s="81" t="s">
        <v>755</v>
      </c>
      <c r="K88" s="31" t="s">
        <v>492</v>
      </c>
      <c r="L88" s="42" t="s">
        <v>445</v>
      </c>
      <c r="M88" s="67" t="s">
        <v>757</v>
      </c>
      <c r="N88" s="89" t="s">
        <v>760</v>
      </c>
      <c r="O88" s="74" t="s">
        <v>665</v>
      </c>
      <c r="P88" s="74" t="s">
        <v>666</v>
      </c>
    </row>
    <row r="89" spans="1:16" ht="23.55" customHeight="1">
      <c r="A89" s="50" t="s">
        <v>293</v>
      </c>
      <c r="B89" s="34" t="s">
        <v>343</v>
      </c>
      <c r="C89" s="81" t="s">
        <v>755</v>
      </c>
      <c r="D89" s="16" t="s">
        <v>762</v>
      </c>
      <c r="E89" s="81" t="s">
        <v>755</v>
      </c>
      <c r="F89" s="81" t="s">
        <v>755</v>
      </c>
      <c r="G89" s="81" t="s">
        <v>755</v>
      </c>
      <c r="H89" s="34" t="s">
        <v>444</v>
      </c>
      <c r="I89" s="34" t="s">
        <v>443</v>
      </c>
      <c r="J89" s="81" t="s">
        <v>755</v>
      </c>
      <c r="K89" s="31" t="s">
        <v>493</v>
      </c>
      <c r="L89" s="42" t="s">
        <v>445</v>
      </c>
      <c r="M89" s="67" t="s">
        <v>757</v>
      </c>
      <c r="N89" s="89" t="s">
        <v>760</v>
      </c>
      <c r="O89" s="74" t="s">
        <v>665</v>
      </c>
      <c r="P89" s="74" t="s">
        <v>666</v>
      </c>
    </row>
    <row r="90" spans="1:16" ht="23.55" customHeight="1">
      <c r="A90" s="50" t="s">
        <v>294</v>
      </c>
      <c r="B90" s="45" t="s">
        <v>343</v>
      </c>
      <c r="C90" s="81" t="s">
        <v>755</v>
      </c>
      <c r="D90" s="16" t="s">
        <v>762</v>
      </c>
      <c r="E90" s="81" t="s">
        <v>755</v>
      </c>
      <c r="F90" s="81" t="s">
        <v>755</v>
      </c>
      <c r="G90" s="81" t="s">
        <v>755</v>
      </c>
      <c r="H90" s="34" t="s">
        <v>444</v>
      </c>
      <c r="I90" s="34" t="s">
        <v>494</v>
      </c>
      <c r="J90" s="81" t="s">
        <v>755</v>
      </c>
      <c r="K90" s="31" t="s">
        <v>495</v>
      </c>
      <c r="L90" s="42" t="s">
        <v>445</v>
      </c>
      <c r="M90" s="67" t="s">
        <v>757</v>
      </c>
      <c r="N90" s="89" t="s">
        <v>760</v>
      </c>
      <c r="O90" s="74" t="s">
        <v>665</v>
      </c>
      <c r="P90" s="74" t="s">
        <v>666</v>
      </c>
    </row>
    <row r="91" spans="1:16" ht="25.05" customHeight="1">
      <c r="A91" s="50" t="s">
        <v>295</v>
      </c>
      <c r="B91" s="45" t="s">
        <v>391</v>
      </c>
      <c r="C91" s="81" t="s">
        <v>755</v>
      </c>
      <c r="D91" s="16" t="s">
        <v>762</v>
      </c>
      <c r="E91" s="81" t="s">
        <v>755</v>
      </c>
      <c r="F91" s="81" t="s">
        <v>755</v>
      </c>
      <c r="G91" s="81" t="s">
        <v>755</v>
      </c>
      <c r="H91" s="34" t="s">
        <v>337</v>
      </c>
      <c r="I91" s="34" t="s">
        <v>338</v>
      </c>
      <c r="J91" s="31" t="s">
        <v>505</v>
      </c>
      <c r="K91" s="31" t="s">
        <v>549</v>
      </c>
      <c r="L91" s="42" t="s">
        <v>445</v>
      </c>
      <c r="M91" s="67" t="s">
        <v>757</v>
      </c>
      <c r="N91" s="89" t="s">
        <v>760</v>
      </c>
      <c r="O91" s="74" t="s">
        <v>665</v>
      </c>
      <c r="P91" s="74" t="s">
        <v>666</v>
      </c>
    </row>
    <row r="92" spans="1:16" ht="25.05" customHeight="1">
      <c r="A92" s="50" t="s">
        <v>296</v>
      </c>
      <c r="B92" s="19" t="s">
        <v>458</v>
      </c>
      <c r="C92" s="20">
        <f>DATE(2023,7,26)</f>
        <v>45133</v>
      </c>
      <c r="D92" s="16" t="s">
        <v>762</v>
      </c>
      <c r="E92" s="19">
        <v>24</v>
      </c>
      <c r="F92" s="20">
        <f>EDATE(C92,24)</f>
        <v>45864</v>
      </c>
      <c r="G92" s="44" t="s">
        <v>416</v>
      </c>
      <c r="H92" s="7" t="s">
        <v>337</v>
      </c>
      <c r="I92" s="19" t="s">
        <v>459</v>
      </c>
      <c r="J92" s="19" t="s">
        <v>506</v>
      </c>
      <c r="K92" s="21" t="s">
        <v>589</v>
      </c>
      <c r="L92" s="42" t="s">
        <v>445</v>
      </c>
      <c r="M92" s="19" t="s">
        <v>756</v>
      </c>
      <c r="N92" s="89" t="s">
        <v>760</v>
      </c>
      <c r="O92" s="74" t="s">
        <v>665</v>
      </c>
      <c r="P92" s="74" t="s">
        <v>666</v>
      </c>
    </row>
    <row r="93" spans="1:16" ht="25.05" customHeight="1">
      <c r="A93" s="50" t="s">
        <v>297</v>
      </c>
      <c r="B93" s="19" t="s">
        <v>600</v>
      </c>
      <c r="C93" s="20">
        <f>DATE(2023,7,24)</f>
        <v>45131</v>
      </c>
      <c r="D93" s="16" t="s">
        <v>762</v>
      </c>
      <c r="E93" s="18">
        <v>12</v>
      </c>
      <c r="F93" s="20">
        <f>EDATE(C93,12)</f>
        <v>45497</v>
      </c>
      <c r="G93" s="44" t="s">
        <v>416</v>
      </c>
      <c r="H93" s="34" t="s">
        <v>344</v>
      </c>
      <c r="I93" s="19" t="s">
        <v>423</v>
      </c>
      <c r="J93" s="19">
        <v>101933</v>
      </c>
      <c r="K93" s="21" t="s">
        <v>588</v>
      </c>
      <c r="L93" s="42" t="s">
        <v>445</v>
      </c>
      <c r="M93" s="18" t="s">
        <v>756</v>
      </c>
      <c r="N93" s="89" t="s">
        <v>760</v>
      </c>
      <c r="O93" s="74" t="s">
        <v>665</v>
      </c>
      <c r="P93" s="74" t="s">
        <v>666</v>
      </c>
    </row>
    <row r="94" spans="1:16" ht="25.05" customHeight="1">
      <c r="A94" s="50" t="s">
        <v>298</v>
      </c>
      <c r="B94" s="19" t="s">
        <v>538</v>
      </c>
      <c r="C94" s="20">
        <f>DATE(2023,7,24)</f>
        <v>45131</v>
      </c>
      <c r="D94" s="16" t="s">
        <v>762</v>
      </c>
      <c r="E94" s="19">
        <v>12</v>
      </c>
      <c r="F94" s="20">
        <f>EDATE(C94,12)</f>
        <v>45497</v>
      </c>
      <c r="G94" s="44" t="s">
        <v>416</v>
      </c>
      <c r="H94" s="34" t="s">
        <v>544</v>
      </c>
      <c r="I94" s="19" t="s">
        <v>424</v>
      </c>
      <c r="J94" s="19" t="s">
        <v>504</v>
      </c>
      <c r="K94" s="21" t="s">
        <v>455</v>
      </c>
      <c r="L94" s="42" t="s">
        <v>445</v>
      </c>
      <c r="M94" s="43" t="s">
        <v>756</v>
      </c>
      <c r="N94" s="89" t="s">
        <v>760</v>
      </c>
      <c r="O94" s="74" t="s">
        <v>665</v>
      </c>
      <c r="P94" s="74" t="s">
        <v>666</v>
      </c>
    </row>
    <row r="95" spans="1:16" ht="25.05" customHeight="1">
      <c r="A95" s="50" t="s">
        <v>299</v>
      </c>
      <c r="B95" s="45" t="s">
        <v>532</v>
      </c>
      <c r="C95" s="20">
        <f>DATE(2023,7,25)</f>
        <v>45132</v>
      </c>
      <c r="D95" s="16" t="s">
        <v>762</v>
      </c>
      <c r="E95" s="18">
        <v>12</v>
      </c>
      <c r="F95" s="20">
        <f>EDATE(C95,12)</f>
        <v>45498</v>
      </c>
      <c r="G95" s="44" t="s">
        <v>416</v>
      </c>
      <c r="H95" s="34" t="s">
        <v>528</v>
      </c>
      <c r="I95" s="34" t="s">
        <v>393</v>
      </c>
      <c r="J95" s="18" t="s">
        <v>515</v>
      </c>
      <c r="K95" s="24" t="s">
        <v>563</v>
      </c>
      <c r="L95" s="42" t="s">
        <v>445</v>
      </c>
      <c r="M95" s="18" t="s">
        <v>756</v>
      </c>
      <c r="N95" s="89" t="s">
        <v>760</v>
      </c>
      <c r="O95" s="74" t="s">
        <v>665</v>
      </c>
      <c r="P95" s="74" t="s">
        <v>666</v>
      </c>
    </row>
    <row r="96" spans="1:16" ht="25.05" customHeight="1">
      <c r="A96" s="50" t="s">
        <v>300</v>
      </c>
      <c r="B96" s="45" t="s">
        <v>529</v>
      </c>
      <c r="C96" s="20">
        <f>DATE(2023,7,25)</f>
        <v>45132</v>
      </c>
      <c r="D96" s="16" t="s">
        <v>762</v>
      </c>
      <c r="E96" s="18">
        <v>12</v>
      </c>
      <c r="F96" s="20">
        <f>EDATE(C96,12)</f>
        <v>45498</v>
      </c>
      <c r="G96" s="44" t="s">
        <v>416</v>
      </c>
      <c r="H96" s="34" t="s">
        <v>417</v>
      </c>
      <c r="I96" s="34" t="s">
        <v>394</v>
      </c>
      <c r="J96" s="18" t="s">
        <v>517</v>
      </c>
      <c r="K96" s="25" t="s">
        <v>587</v>
      </c>
      <c r="L96" s="42" t="s">
        <v>445</v>
      </c>
      <c r="M96" s="43" t="s">
        <v>756</v>
      </c>
      <c r="N96" s="89" t="s">
        <v>760</v>
      </c>
      <c r="O96" s="74" t="s">
        <v>665</v>
      </c>
      <c r="P96" s="74" t="s">
        <v>666</v>
      </c>
    </row>
    <row r="97" spans="1:16" ht="25.05" customHeight="1">
      <c r="A97" s="50" t="s">
        <v>301</v>
      </c>
      <c r="B97" s="45" t="s">
        <v>392</v>
      </c>
      <c r="C97" s="20">
        <f>DATE(2023,7,25)</f>
        <v>45132</v>
      </c>
      <c r="D97" s="16" t="s">
        <v>762</v>
      </c>
      <c r="E97" s="18">
        <v>12</v>
      </c>
      <c r="F97" s="20">
        <f>EDATE(C97,12)</f>
        <v>45498</v>
      </c>
      <c r="G97" s="44" t="s">
        <v>416</v>
      </c>
      <c r="H97" s="34" t="s">
        <v>528</v>
      </c>
      <c r="I97" s="34" t="s">
        <v>395</v>
      </c>
      <c r="J97" s="24" t="s">
        <v>520</v>
      </c>
      <c r="K97" s="25" t="s">
        <v>566</v>
      </c>
      <c r="L97" s="42" t="s">
        <v>445</v>
      </c>
      <c r="M97" s="43" t="s">
        <v>756</v>
      </c>
      <c r="N97" s="89" t="s">
        <v>760</v>
      </c>
      <c r="O97" s="74" t="s">
        <v>665</v>
      </c>
      <c r="P97" s="74" t="s">
        <v>666</v>
      </c>
    </row>
    <row r="98" spans="1:16" ht="25.05" customHeight="1">
      <c r="A98" s="50" t="s">
        <v>302</v>
      </c>
      <c r="B98" s="45" t="s">
        <v>396</v>
      </c>
      <c r="C98" s="81" t="s">
        <v>755</v>
      </c>
      <c r="D98" s="16" t="s">
        <v>762</v>
      </c>
      <c r="E98" s="81" t="s">
        <v>755</v>
      </c>
      <c r="F98" s="81" t="s">
        <v>755</v>
      </c>
      <c r="G98" s="81" t="s">
        <v>755</v>
      </c>
      <c r="H98" s="34" t="s">
        <v>519</v>
      </c>
      <c r="I98" s="34" t="s">
        <v>396</v>
      </c>
      <c r="J98" s="81" t="s">
        <v>755</v>
      </c>
      <c r="K98" s="24" t="s">
        <v>527</v>
      </c>
      <c r="L98" s="42" t="s">
        <v>445</v>
      </c>
      <c r="M98" s="68" t="s">
        <v>757</v>
      </c>
      <c r="N98" s="89" t="s">
        <v>760</v>
      </c>
      <c r="O98" s="74" t="s">
        <v>665</v>
      </c>
      <c r="P98" s="74" t="s">
        <v>666</v>
      </c>
    </row>
    <row r="99" spans="1:16" ht="25.05" customHeight="1">
      <c r="A99" s="50" t="s">
        <v>303</v>
      </c>
      <c r="B99" s="24" t="s">
        <v>397</v>
      </c>
      <c r="C99" s="81" t="s">
        <v>755</v>
      </c>
      <c r="D99" s="16" t="s">
        <v>762</v>
      </c>
      <c r="E99" s="81" t="s">
        <v>755</v>
      </c>
      <c r="F99" s="81" t="s">
        <v>755</v>
      </c>
      <c r="G99" s="81" t="s">
        <v>755</v>
      </c>
      <c r="H99" s="18" t="s">
        <v>417</v>
      </c>
      <c r="I99" s="18" t="s">
        <v>397</v>
      </c>
      <c r="J99" s="18" t="s">
        <v>518</v>
      </c>
      <c r="K99" s="81" t="s">
        <v>755</v>
      </c>
      <c r="L99" s="18" t="s">
        <v>445</v>
      </c>
      <c r="M99" s="68" t="s">
        <v>757</v>
      </c>
      <c r="N99" s="89" t="s">
        <v>760</v>
      </c>
      <c r="O99" s="74" t="s">
        <v>665</v>
      </c>
      <c r="P99" s="74" t="s">
        <v>666</v>
      </c>
    </row>
    <row r="100" spans="1:16" ht="25.05" customHeight="1">
      <c r="A100" s="50" t="s">
        <v>304</v>
      </c>
      <c r="B100" s="45" t="s">
        <v>398</v>
      </c>
      <c r="C100" s="81" t="s">
        <v>755</v>
      </c>
      <c r="D100" s="16" t="s">
        <v>762</v>
      </c>
      <c r="E100" s="81" t="s">
        <v>755</v>
      </c>
      <c r="F100" s="81" t="s">
        <v>755</v>
      </c>
      <c r="G100" s="81" t="s">
        <v>755</v>
      </c>
      <c r="H100" s="34" t="s">
        <v>417</v>
      </c>
      <c r="I100" s="34" t="s">
        <v>398</v>
      </c>
      <c r="J100" s="18" t="s">
        <v>516</v>
      </c>
      <c r="K100" s="18" t="s">
        <v>526</v>
      </c>
      <c r="L100" s="42" t="s">
        <v>445</v>
      </c>
      <c r="M100" s="68" t="s">
        <v>757</v>
      </c>
      <c r="N100" s="89" t="s">
        <v>760</v>
      </c>
      <c r="O100" s="74" t="s">
        <v>665</v>
      </c>
      <c r="P100" s="74" t="s">
        <v>666</v>
      </c>
    </row>
    <row r="101" spans="1:16" ht="25.05" customHeight="1">
      <c r="A101" s="50" t="s">
        <v>305</v>
      </c>
      <c r="B101" s="18" t="s">
        <v>402</v>
      </c>
      <c r="C101" s="20">
        <f>DATE(2023,7,24)</f>
        <v>45131</v>
      </c>
      <c r="D101" s="16" t="s">
        <v>762</v>
      </c>
      <c r="E101" s="56">
        <v>12</v>
      </c>
      <c r="F101" s="57">
        <f>EDATE(C101,12)</f>
        <v>45497</v>
      </c>
      <c r="G101" s="58" t="s">
        <v>1</v>
      </c>
      <c r="H101" s="18" t="s">
        <v>417</v>
      </c>
      <c r="I101" s="56" t="s">
        <v>399</v>
      </c>
      <c r="J101" s="56" t="s">
        <v>400</v>
      </c>
      <c r="K101" s="59" t="s">
        <v>401</v>
      </c>
      <c r="L101" s="18" t="s">
        <v>445</v>
      </c>
      <c r="M101" s="43" t="s">
        <v>756</v>
      </c>
      <c r="N101" s="89" t="s">
        <v>760</v>
      </c>
      <c r="O101" s="74" t="s">
        <v>665</v>
      </c>
      <c r="P101" s="74" t="s">
        <v>666</v>
      </c>
    </row>
    <row r="102" spans="1:16" ht="25.05" customHeight="1">
      <c r="A102" s="50" t="s">
        <v>306</v>
      </c>
      <c r="B102" s="56" t="s">
        <v>405</v>
      </c>
      <c r="C102" s="20">
        <f>DATE(2023,7,25)</f>
        <v>45132</v>
      </c>
      <c r="D102" s="16" t="s">
        <v>762</v>
      </c>
      <c r="E102" s="56">
        <v>12</v>
      </c>
      <c r="F102" s="57">
        <f t="shared" ref="F102:F111" si="4">EDATE(C102,12)</f>
        <v>45498</v>
      </c>
      <c r="G102" s="58" t="s">
        <v>1</v>
      </c>
      <c r="H102" s="18" t="s">
        <v>417</v>
      </c>
      <c r="I102" s="56" t="s">
        <v>403</v>
      </c>
      <c r="J102" s="56" t="s">
        <v>404</v>
      </c>
      <c r="K102" s="60" t="s">
        <v>565</v>
      </c>
      <c r="L102" s="18" t="s">
        <v>445</v>
      </c>
      <c r="M102" s="43" t="s">
        <v>756</v>
      </c>
      <c r="N102" s="89" t="s">
        <v>760</v>
      </c>
      <c r="O102" s="74" t="s">
        <v>665</v>
      </c>
      <c r="P102" s="74" t="s">
        <v>666</v>
      </c>
    </row>
    <row r="103" spans="1:16" ht="25.05" customHeight="1">
      <c r="A103" s="50" t="s">
        <v>307</v>
      </c>
      <c r="B103" s="56" t="s">
        <v>531</v>
      </c>
      <c r="C103" s="54">
        <f>DATE(2023,7,24)</f>
        <v>45131</v>
      </c>
      <c r="D103" s="16" t="s">
        <v>762</v>
      </c>
      <c r="E103" s="56">
        <v>12</v>
      </c>
      <c r="F103" s="57">
        <f t="shared" si="4"/>
        <v>45497</v>
      </c>
      <c r="G103" s="58" t="s">
        <v>1</v>
      </c>
      <c r="H103" s="18" t="s">
        <v>417</v>
      </c>
      <c r="I103" s="56" t="s">
        <v>406</v>
      </c>
      <c r="J103" s="56" t="s">
        <v>407</v>
      </c>
      <c r="K103" s="59" t="s">
        <v>570</v>
      </c>
      <c r="L103" s="18" t="s">
        <v>445</v>
      </c>
      <c r="M103" s="43" t="s">
        <v>756</v>
      </c>
      <c r="N103" s="89" t="s">
        <v>760</v>
      </c>
      <c r="O103" s="74" t="s">
        <v>665</v>
      </c>
      <c r="P103" s="74" t="s">
        <v>666</v>
      </c>
    </row>
    <row r="104" spans="1:16" ht="25.05" customHeight="1">
      <c r="A104" s="50" t="s">
        <v>308</v>
      </c>
      <c r="B104" s="56" t="s">
        <v>418</v>
      </c>
      <c r="C104" s="20">
        <f>DATE(2023,7,24)</f>
        <v>45131</v>
      </c>
      <c r="D104" s="16" t="s">
        <v>762</v>
      </c>
      <c r="E104" s="61">
        <v>12</v>
      </c>
      <c r="F104" s="57">
        <f t="shared" si="4"/>
        <v>45497</v>
      </c>
      <c r="G104" s="58" t="s">
        <v>1</v>
      </c>
      <c r="H104" s="18" t="s">
        <v>417</v>
      </c>
      <c r="I104" s="56" t="s">
        <v>408</v>
      </c>
      <c r="J104" s="56" t="s">
        <v>409</v>
      </c>
      <c r="K104" s="56" t="s">
        <v>567</v>
      </c>
      <c r="L104" s="18" t="s">
        <v>445</v>
      </c>
      <c r="M104" s="43" t="s">
        <v>756</v>
      </c>
      <c r="N104" s="89" t="s">
        <v>760</v>
      </c>
      <c r="O104" s="74" t="s">
        <v>665</v>
      </c>
      <c r="P104" s="74" t="s">
        <v>666</v>
      </c>
    </row>
    <row r="105" spans="1:16" ht="25.05" customHeight="1">
      <c r="A105" s="50" t="s">
        <v>309</v>
      </c>
      <c r="B105" s="56" t="s">
        <v>419</v>
      </c>
      <c r="C105" s="20">
        <f>DATE(2023,7,24)</f>
        <v>45131</v>
      </c>
      <c r="D105" s="16" t="s">
        <v>762</v>
      </c>
      <c r="E105" s="18">
        <v>12</v>
      </c>
      <c r="F105" s="57">
        <f t="shared" si="4"/>
        <v>45497</v>
      </c>
      <c r="G105" s="58" t="s">
        <v>1</v>
      </c>
      <c r="H105" s="18" t="s">
        <v>417</v>
      </c>
      <c r="I105" s="56" t="s">
        <v>410</v>
      </c>
      <c r="J105" s="56" t="s">
        <v>411</v>
      </c>
      <c r="K105" s="56" t="s">
        <v>568</v>
      </c>
      <c r="L105" s="18" t="s">
        <v>445</v>
      </c>
      <c r="M105" s="43" t="s">
        <v>756</v>
      </c>
      <c r="N105" s="89" t="s">
        <v>760</v>
      </c>
      <c r="O105" s="74" t="s">
        <v>665</v>
      </c>
      <c r="P105" s="74" t="s">
        <v>666</v>
      </c>
    </row>
    <row r="106" spans="1:16" ht="25.05" customHeight="1">
      <c r="A106" s="50" t="s">
        <v>310</v>
      </c>
      <c r="B106" s="31" t="s">
        <v>420</v>
      </c>
      <c r="C106" s="54">
        <f>DATE(2023,7,25)</f>
        <v>45132</v>
      </c>
      <c r="D106" s="16" t="s">
        <v>762</v>
      </c>
      <c r="E106" s="18">
        <v>12</v>
      </c>
      <c r="F106" s="57">
        <f t="shared" si="4"/>
        <v>45498</v>
      </c>
      <c r="G106" s="58" t="s">
        <v>1</v>
      </c>
      <c r="H106" s="18" t="s">
        <v>417</v>
      </c>
      <c r="I106" s="56" t="s">
        <v>412</v>
      </c>
      <c r="J106" s="56" t="s">
        <v>413</v>
      </c>
      <c r="K106" s="56" t="s">
        <v>585</v>
      </c>
      <c r="L106" s="18" t="s">
        <v>445</v>
      </c>
      <c r="M106" s="43" t="s">
        <v>756</v>
      </c>
      <c r="N106" s="89" t="s">
        <v>760</v>
      </c>
      <c r="O106" s="74" t="s">
        <v>665</v>
      </c>
      <c r="P106" s="74" t="s">
        <v>666</v>
      </c>
    </row>
    <row r="107" spans="1:16" ht="25.05" customHeight="1">
      <c r="A107" s="50" t="s">
        <v>311</v>
      </c>
      <c r="B107" s="56" t="s">
        <v>421</v>
      </c>
      <c r="C107" s="20">
        <f>DATE(2023,7,24)</f>
        <v>45131</v>
      </c>
      <c r="D107" s="16" t="s">
        <v>762</v>
      </c>
      <c r="E107" s="18">
        <v>12</v>
      </c>
      <c r="F107" s="57">
        <f t="shared" si="4"/>
        <v>45497</v>
      </c>
      <c r="G107" s="58" t="s">
        <v>1</v>
      </c>
      <c r="H107" s="18" t="s">
        <v>417</v>
      </c>
      <c r="I107" s="56" t="s">
        <v>545</v>
      </c>
      <c r="J107" s="56" t="s">
        <v>414</v>
      </c>
      <c r="K107" s="56" t="s">
        <v>569</v>
      </c>
      <c r="L107" s="18" t="s">
        <v>445</v>
      </c>
      <c r="M107" s="43" t="s">
        <v>756</v>
      </c>
      <c r="N107" s="89" t="s">
        <v>760</v>
      </c>
      <c r="O107" s="74" t="s">
        <v>665</v>
      </c>
      <c r="P107" s="74" t="s">
        <v>666</v>
      </c>
    </row>
    <row r="108" spans="1:16" ht="25.05" customHeight="1">
      <c r="A108" s="50" t="s">
        <v>312</v>
      </c>
      <c r="B108" s="56" t="s">
        <v>693</v>
      </c>
      <c r="C108" s="20">
        <f>DATE(2023,7,24)</f>
        <v>45131</v>
      </c>
      <c r="D108" s="16" t="s">
        <v>762</v>
      </c>
      <c r="E108" s="18">
        <v>12</v>
      </c>
      <c r="F108" s="57">
        <f t="shared" si="4"/>
        <v>45497</v>
      </c>
      <c r="G108" s="58" t="s">
        <v>1</v>
      </c>
      <c r="H108" s="18" t="s">
        <v>417</v>
      </c>
      <c r="I108" s="56" t="s">
        <v>415</v>
      </c>
      <c r="J108" s="56" t="s">
        <v>692</v>
      </c>
      <c r="K108" s="56" t="s">
        <v>564</v>
      </c>
      <c r="L108" s="18" t="s">
        <v>445</v>
      </c>
      <c r="M108" s="43" t="s">
        <v>756</v>
      </c>
      <c r="N108" s="89" t="s">
        <v>760</v>
      </c>
      <c r="O108" s="74" t="s">
        <v>665</v>
      </c>
      <c r="P108" s="74" t="s">
        <v>666</v>
      </c>
    </row>
    <row r="109" spans="1:16" ht="25.05" customHeight="1">
      <c r="A109" s="50" t="s">
        <v>313</v>
      </c>
      <c r="B109" s="18" t="s">
        <v>497</v>
      </c>
      <c r="C109" s="71">
        <f>DATE(2023,8,4)</f>
        <v>45142</v>
      </c>
      <c r="D109" s="16" t="s">
        <v>762</v>
      </c>
      <c r="E109" s="18">
        <v>12</v>
      </c>
      <c r="F109" s="57">
        <f t="shared" si="4"/>
        <v>45508</v>
      </c>
      <c r="G109" s="71" t="s">
        <v>416</v>
      </c>
      <c r="H109" s="18" t="s">
        <v>457</v>
      </c>
      <c r="I109" s="18" t="s">
        <v>639</v>
      </c>
      <c r="J109" s="18">
        <v>322</v>
      </c>
      <c r="K109" s="18" t="s">
        <v>448</v>
      </c>
      <c r="L109" s="18" t="s">
        <v>445</v>
      </c>
      <c r="M109" s="72" t="s">
        <v>756</v>
      </c>
      <c r="N109" s="89" t="s">
        <v>760</v>
      </c>
      <c r="O109" s="74" t="s">
        <v>665</v>
      </c>
      <c r="P109" s="74" t="s">
        <v>666</v>
      </c>
    </row>
    <row r="110" spans="1:16" ht="25.05" customHeight="1">
      <c r="A110" s="50" t="s">
        <v>314</v>
      </c>
      <c r="B110" s="42" t="s">
        <v>451</v>
      </c>
      <c r="C110" s="44">
        <f>DATE(2023,7,26)</f>
        <v>45133</v>
      </c>
      <c r="D110" s="16" t="s">
        <v>762</v>
      </c>
      <c r="E110" s="42">
        <v>12</v>
      </c>
      <c r="F110" s="15">
        <f t="shared" si="4"/>
        <v>45499</v>
      </c>
      <c r="G110" s="44" t="s">
        <v>416</v>
      </c>
      <c r="H110" s="44" t="s">
        <v>348</v>
      </c>
      <c r="I110" s="44">
        <v>2542103</v>
      </c>
      <c r="J110" s="42">
        <v>201100250</v>
      </c>
      <c r="K110" s="42" t="s">
        <v>450</v>
      </c>
      <c r="L110" s="42" t="s">
        <v>445</v>
      </c>
      <c r="M110" s="77" t="s">
        <v>756</v>
      </c>
      <c r="N110" s="89" t="s">
        <v>760</v>
      </c>
      <c r="O110" s="74" t="s">
        <v>665</v>
      </c>
      <c r="P110" s="74" t="s">
        <v>666</v>
      </c>
    </row>
    <row r="111" spans="1:16" ht="25.05" customHeight="1">
      <c r="A111" s="50" t="s">
        <v>315</v>
      </c>
      <c r="B111" s="42" t="s">
        <v>456</v>
      </c>
      <c r="C111" s="20">
        <f>DATE(2023,7,26)</f>
        <v>45133</v>
      </c>
      <c r="D111" s="16" t="s">
        <v>762</v>
      </c>
      <c r="E111" s="42">
        <v>12</v>
      </c>
      <c r="F111" s="15">
        <f t="shared" si="4"/>
        <v>45499</v>
      </c>
      <c r="G111" s="44" t="s">
        <v>416</v>
      </c>
      <c r="H111" s="42" t="s">
        <v>543</v>
      </c>
      <c r="I111" s="42" t="s">
        <v>449</v>
      </c>
      <c r="J111" s="42">
        <v>1912683</v>
      </c>
      <c r="K111" s="42" t="s">
        <v>584</v>
      </c>
      <c r="L111" s="42" t="s">
        <v>445</v>
      </c>
      <c r="M111" s="77" t="s">
        <v>756</v>
      </c>
      <c r="N111" s="89" t="s">
        <v>760</v>
      </c>
      <c r="O111" s="74" t="s">
        <v>665</v>
      </c>
      <c r="P111" s="74" t="s">
        <v>666</v>
      </c>
    </row>
    <row r="112" spans="1:16" ht="25.05" customHeight="1">
      <c r="A112" s="50" t="s">
        <v>316</v>
      </c>
      <c r="B112" s="42" t="s">
        <v>501</v>
      </c>
      <c r="C112" s="81" t="s">
        <v>755</v>
      </c>
      <c r="D112" s="16" t="s">
        <v>762</v>
      </c>
      <c r="E112" s="81" t="s">
        <v>755</v>
      </c>
      <c r="F112" s="81" t="s">
        <v>755</v>
      </c>
      <c r="G112" s="81" t="s">
        <v>755</v>
      </c>
      <c r="H112" s="34" t="s">
        <v>324</v>
      </c>
      <c r="I112" s="42" t="s">
        <v>501</v>
      </c>
      <c r="J112" s="42">
        <v>89</v>
      </c>
      <c r="K112" s="81" t="s">
        <v>755</v>
      </c>
      <c r="L112" s="42" t="s">
        <v>445</v>
      </c>
      <c r="M112" s="78" t="s">
        <v>757</v>
      </c>
      <c r="N112" s="89" t="s">
        <v>760</v>
      </c>
      <c r="O112" s="74" t="s">
        <v>665</v>
      </c>
      <c r="P112" s="74" t="s">
        <v>666</v>
      </c>
    </row>
    <row r="113" spans="1:16" ht="25.05" customHeight="1">
      <c r="A113" s="50" t="s">
        <v>317</v>
      </c>
      <c r="B113" s="42" t="s">
        <v>502</v>
      </c>
      <c r="C113" s="81" t="s">
        <v>755</v>
      </c>
      <c r="D113" s="16" t="s">
        <v>762</v>
      </c>
      <c r="E113" s="81" t="s">
        <v>755</v>
      </c>
      <c r="F113" s="81" t="s">
        <v>755</v>
      </c>
      <c r="G113" s="81" t="s">
        <v>755</v>
      </c>
      <c r="H113" s="42" t="s">
        <v>513</v>
      </c>
      <c r="I113" s="42">
        <v>7224</v>
      </c>
      <c r="J113" s="42">
        <v>2399</v>
      </c>
      <c r="K113" s="75" t="s">
        <v>503</v>
      </c>
      <c r="L113" s="42" t="s">
        <v>445</v>
      </c>
      <c r="M113" s="78" t="s">
        <v>757</v>
      </c>
      <c r="N113" s="89" t="s">
        <v>760</v>
      </c>
      <c r="O113" s="74" t="s">
        <v>665</v>
      </c>
      <c r="P113" s="74" t="s">
        <v>666</v>
      </c>
    </row>
    <row r="114" spans="1:16" ht="25.05" customHeight="1">
      <c r="A114" s="50" t="s">
        <v>318</v>
      </c>
      <c r="B114" s="42" t="s">
        <v>507</v>
      </c>
      <c r="C114" s="81" t="s">
        <v>755</v>
      </c>
      <c r="D114" s="16" t="s">
        <v>762</v>
      </c>
      <c r="E114" s="81" t="s">
        <v>755</v>
      </c>
      <c r="F114" s="81" t="s">
        <v>755</v>
      </c>
      <c r="G114" s="81" t="s">
        <v>755</v>
      </c>
      <c r="H114" s="34" t="s">
        <v>324</v>
      </c>
      <c r="I114" s="42" t="s">
        <v>509</v>
      </c>
      <c r="J114" s="42">
        <v>83</v>
      </c>
      <c r="K114" s="75" t="s">
        <v>512</v>
      </c>
      <c r="L114" s="42" t="s">
        <v>445</v>
      </c>
      <c r="M114" s="78" t="s">
        <v>757</v>
      </c>
      <c r="N114" s="89" t="s">
        <v>760</v>
      </c>
      <c r="O114" s="74" t="s">
        <v>665</v>
      </c>
      <c r="P114" s="74" t="s">
        <v>666</v>
      </c>
    </row>
    <row r="115" spans="1:16" ht="25.05" customHeight="1">
      <c r="A115" s="50" t="s">
        <v>319</v>
      </c>
      <c r="B115" s="42" t="s">
        <v>508</v>
      </c>
      <c r="C115" s="15">
        <f>DATE(2023,7,27)</f>
        <v>45134</v>
      </c>
      <c r="D115" s="16" t="s">
        <v>762</v>
      </c>
      <c r="E115" s="42">
        <v>12</v>
      </c>
      <c r="F115" s="15">
        <f>EDATE(C115,12)</f>
        <v>45500</v>
      </c>
      <c r="G115" s="44" t="s">
        <v>1</v>
      </c>
      <c r="H115" s="42" t="s">
        <v>511</v>
      </c>
      <c r="I115" s="42">
        <v>425</v>
      </c>
      <c r="J115" s="42" t="s">
        <v>510</v>
      </c>
      <c r="K115" s="81" t="s">
        <v>755</v>
      </c>
      <c r="L115" s="42" t="s">
        <v>445</v>
      </c>
      <c r="M115" s="76" t="s">
        <v>756</v>
      </c>
      <c r="N115" s="89" t="s">
        <v>760</v>
      </c>
      <c r="O115" s="74" t="s">
        <v>665</v>
      </c>
      <c r="P115" s="74" t="s">
        <v>666</v>
      </c>
    </row>
    <row r="116" spans="1:16" ht="25.05" customHeight="1">
      <c r="A116" s="50" t="s">
        <v>320</v>
      </c>
      <c r="B116" s="42" t="s">
        <v>548</v>
      </c>
      <c r="C116" s="81" t="s">
        <v>755</v>
      </c>
      <c r="D116" s="16" t="s">
        <v>762</v>
      </c>
      <c r="E116" s="81" t="s">
        <v>755</v>
      </c>
      <c r="F116" s="81" t="s">
        <v>755</v>
      </c>
      <c r="G116" s="81" t="s">
        <v>755</v>
      </c>
      <c r="H116" s="42" t="s">
        <v>344</v>
      </c>
      <c r="I116" s="42" t="s">
        <v>547</v>
      </c>
      <c r="J116" s="42">
        <v>101125</v>
      </c>
      <c r="K116" s="42" t="s">
        <v>586</v>
      </c>
      <c r="L116" s="42" t="s">
        <v>445</v>
      </c>
      <c r="M116" s="68" t="s">
        <v>757</v>
      </c>
      <c r="N116" s="89" t="s">
        <v>760</v>
      </c>
      <c r="O116" s="74" t="s">
        <v>665</v>
      </c>
      <c r="P116" s="74" t="s">
        <v>666</v>
      </c>
    </row>
    <row r="117" spans="1:16" ht="25.05" customHeight="1">
      <c r="A117" s="50" t="s">
        <v>321</v>
      </c>
      <c r="B117" s="16" t="s">
        <v>575</v>
      </c>
      <c r="C117" s="81" t="s">
        <v>755</v>
      </c>
      <c r="D117" s="16" t="s">
        <v>762</v>
      </c>
      <c r="E117" s="81" t="s">
        <v>755</v>
      </c>
      <c r="F117" s="81" t="s">
        <v>755</v>
      </c>
      <c r="G117" s="81" t="s">
        <v>755</v>
      </c>
      <c r="H117" s="34" t="s">
        <v>542</v>
      </c>
      <c r="I117" s="42" t="s">
        <v>576</v>
      </c>
      <c r="J117" s="81" t="s">
        <v>755</v>
      </c>
      <c r="K117" s="7" t="s">
        <v>562</v>
      </c>
      <c r="L117" s="42" t="s">
        <v>445</v>
      </c>
      <c r="M117" s="68" t="s">
        <v>757</v>
      </c>
      <c r="N117" s="89" t="s">
        <v>760</v>
      </c>
      <c r="O117" s="74" t="s">
        <v>665</v>
      </c>
      <c r="P117" s="74" t="s">
        <v>666</v>
      </c>
    </row>
    <row r="118" spans="1:16" ht="25.05" customHeight="1">
      <c r="A118" s="50" t="s">
        <v>322</v>
      </c>
      <c r="B118" s="42" t="s">
        <v>573</v>
      </c>
      <c r="C118" s="81" t="s">
        <v>755</v>
      </c>
      <c r="D118" s="16" t="s">
        <v>762</v>
      </c>
      <c r="E118" s="81" t="s">
        <v>755</v>
      </c>
      <c r="F118" s="81" t="s">
        <v>755</v>
      </c>
      <c r="G118" s="81" t="s">
        <v>755</v>
      </c>
      <c r="H118" s="34" t="s">
        <v>542</v>
      </c>
      <c r="I118" s="81" t="s">
        <v>755</v>
      </c>
      <c r="J118" s="81" t="s">
        <v>755</v>
      </c>
      <c r="K118" s="42" t="s">
        <v>558</v>
      </c>
      <c r="L118" s="42" t="s">
        <v>445</v>
      </c>
      <c r="M118" s="68" t="s">
        <v>757</v>
      </c>
      <c r="N118" s="89" t="s">
        <v>760</v>
      </c>
      <c r="O118" s="74" t="s">
        <v>665</v>
      </c>
      <c r="P118" s="74" t="s">
        <v>666</v>
      </c>
    </row>
    <row r="119" spans="1:16" ht="25.05" customHeight="1">
      <c r="A119" s="50" t="s">
        <v>323</v>
      </c>
      <c r="B119" s="42" t="s">
        <v>574</v>
      </c>
      <c r="C119" s="81" t="s">
        <v>755</v>
      </c>
      <c r="D119" s="16" t="s">
        <v>762</v>
      </c>
      <c r="E119" s="81" t="s">
        <v>755</v>
      </c>
      <c r="F119" s="81" t="s">
        <v>755</v>
      </c>
      <c r="G119" s="81" t="s">
        <v>755</v>
      </c>
      <c r="H119" s="34" t="s">
        <v>542</v>
      </c>
      <c r="I119" s="81" t="s">
        <v>755</v>
      </c>
      <c r="J119" s="81" t="s">
        <v>755</v>
      </c>
      <c r="K119" s="42" t="s">
        <v>559</v>
      </c>
      <c r="L119" s="42" t="s">
        <v>445</v>
      </c>
      <c r="M119" s="68" t="s">
        <v>757</v>
      </c>
      <c r="N119" s="89" t="s">
        <v>760</v>
      </c>
      <c r="O119" s="74" t="s">
        <v>665</v>
      </c>
      <c r="P119" s="74" t="s">
        <v>666</v>
      </c>
    </row>
    <row r="120" spans="1:16" ht="25.05" customHeight="1">
      <c r="A120" s="55" t="s">
        <v>603</v>
      </c>
      <c r="B120" s="18" t="s">
        <v>606</v>
      </c>
      <c r="C120" s="20">
        <f>DATE(2023,7,26)</f>
        <v>45133</v>
      </c>
      <c r="D120" s="16" t="s">
        <v>762</v>
      </c>
      <c r="E120" s="18">
        <v>12</v>
      </c>
      <c r="F120" s="71">
        <f>EDATE(C120,12)</f>
        <v>45499</v>
      </c>
      <c r="G120" s="18" t="s">
        <v>607</v>
      </c>
      <c r="H120" s="18" t="s">
        <v>608</v>
      </c>
      <c r="I120" s="18" t="s">
        <v>609</v>
      </c>
      <c r="J120" s="18">
        <v>1479897</v>
      </c>
      <c r="K120" s="79" t="s">
        <v>614</v>
      </c>
      <c r="L120" s="42" t="s">
        <v>445</v>
      </c>
      <c r="M120" s="76" t="s">
        <v>756</v>
      </c>
      <c r="N120" s="89" t="s">
        <v>760</v>
      </c>
      <c r="O120" s="74" t="s">
        <v>665</v>
      </c>
      <c r="P120" s="74" t="s">
        <v>666</v>
      </c>
    </row>
    <row r="121" spans="1:16" ht="25.05" customHeight="1">
      <c r="A121" s="55" t="s">
        <v>604</v>
      </c>
      <c r="B121" s="18" t="s">
        <v>610</v>
      </c>
      <c r="C121" s="71">
        <f>DATE(2022,8,26)</f>
        <v>44799</v>
      </c>
      <c r="D121" s="16" t="s">
        <v>762</v>
      </c>
      <c r="E121" s="18">
        <v>24</v>
      </c>
      <c r="F121" s="71">
        <f>EDATE(C121,24)</f>
        <v>45530</v>
      </c>
      <c r="G121" s="18" t="s">
        <v>611</v>
      </c>
      <c r="H121" s="18" t="s">
        <v>608</v>
      </c>
      <c r="I121" s="18" t="s">
        <v>612</v>
      </c>
      <c r="J121" s="18" t="s">
        <v>613</v>
      </c>
      <c r="K121" s="18" t="s">
        <v>615</v>
      </c>
      <c r="L121" s="42" t="s">
        <v>616</v>
      </c>
      <c r="M121" s="76" t="s">
        <v>756</v>
      </c>
      <c r="N121" s="89" t="s">
        <v>760</v>
      </c>
      <c r="O121" s="74" t="s">
        <v>665</v>
      </c>
      <c r="P121" s="74" t="s">
        <v>666</v>
      </c>
    </row>
    <row r="122" spans="1:16" ht="25.05" customHeight="1">
      <c r="A122" s="55" t="s">
        <v>617</v>
      </c>
      <c r="B122" s="18" t="s">
        <v>673</v>
      </c>
      <c r="C122" s="71">
        <f>DATE(2023,7,24)</f>
        <v>45131</v>
      </c>
      <c r="D122" s="16" t="s">
        <v>762</v>
      </c>
      <c r="E122" s="18">
        <v>12</v>
      </c>
      <c r="F122" s="71">
        <f>EDATE(C122,12)</f>
        <v>45497</v>
      </c>
      <c r="G122" s="18" t="s">
        <v>607</v>
      </c>
      <c r="H122" s="42" t="s">
        <v>703</v>
      </c>
      <c r="I122" s="18" t="s">
        <v>618</v>
      </c>
      <c r="J122" s="18">
        <v>100717</v>
      </c>
      <c r="K122" s="18" t="s">
        <v>619</v>
      </c>
      <c r="L122" s="42" t="s">
        <v>616</v>
      </c>
      <c r="M122" s="76" t="s">
        <v>756</v>
      </c>
      <c r="N122" s="89" t="s">
        <v>760</v>
      </c>
      <c r="O122" s="74" t="s">
        <v>665</v>
      </c>
      <c r="P122" s="74" t="s">
        <v>666</v>
      </c>
    </row>
    <row r="123" spans="1:16" ht="25.05" customHeight="1">
      <c r="A123" s="55" t="s">
        <v>620</v>
      </c>
      <c r="B123" s="42" t="s">
        <v>621</v>
      </c>
      <c r="C123" s="44">
        <f>DATE(2023,7,24)</f>
        <v>45131</v>
      </c>
      <c r="D123" s="16" t="s">
        <v>762</v>
      </c>
      <c r="E123" s="42">
        <v>12</v>
      </c>
      <c r="F123" s="44">
        <f>EDATE(C123,12)</f>
        <v>45497</v>
      </c>
      <c r="G123" s="42" t="s">
        <v>622</v>
      </c>
      <c r="H123" s="42" t="s">
        <v>623</v>
      </c>
      <c r="I123" s="42">
        <v>115</v>
      </c>
      <c r="J123" s="42" t="s">
        <v>624</v>
      </c>
      <c r="K123" s="42" t="s">
        <v>625</v>
      </c>
      <c r="L123" s="42" t="s">
        <v>616</v>
      </c>
      <c r="M123" s="76" t="s">
        <v>756</v>
      </c>
      <c r="N123" s="89" t="s">
        <v>760</v>
      </c>
      <c r="O123" s="74" t="s">
        <v>665</v>
      </c>
      <c r="P123" s="74" t="s">
        <v>666</v>
      </c>
    </row>
    <row r="124" spans="1:16" ht="25.05" customHeight="1">
      <c r="A124" s="55" t="s">
        <v>626</v>
      </c>
      <c r="B124" s="42" t="s">
        <v>642</v>
      </c>
      <c r="C124" s="81" t="s">
        <v>755</v>
      </c>
      <c r="D124" s="16" t="s">
        <v>762</v>
      </c>
      <c r="E124" s="81" t="s">
        <v>755</v>
      </c>
      <c r="F124" s="81" t="s">
        <v>755</v>
      </c>
      <c r="G124" s="81" t="s">
        <v>755</v>
      </c>
      <c r="H124" s="18" t="s">
        <v>730</v>
      </c>
      <c r="I124" s="42" t="s">
        <v>731</v>
      </c>
      <c r="J124" s="42" t="s">
        <v>640</v>
      </c>
      <c r="K124" s="42" t="s">
        <v>641</v>
      </c>
      <c r="L124" s="42" t="s">
        <v>616</v>
      </c>
      <c r="M124" s="68" t="s">
        <v>757</v>
      </c>
      <c r="N124" s="89" t="s">
        <v>760</v>
      </c>
      <c r="O124" s="74" t="s">
        <v>665</v>
      </c>
      <c r="P124" s="74" t="s">
        <v>666</v>
      </c>
    </row>
    <row r="125" spans="1:16" ht="25.05" customHeight="1">
      <c r="A125" s="55" t="s">
        <v>643</v>
      </c>
      <c r="B125" s="34" t="s">
        <v>9</v>
      </c>
      <c r="C125" s="15">
        <f>DATE(2023,7,27)</f>
        <v>45134</v>
      </c>
      <c r="D125" s="16" t="s">
        <v>762</v>
      </c>
      <c r="E125" s="16">
        <v>12</v>
      </c>
      <c r="F125" s="15">
        <f>EDATE(C125,12)</f>
        <v>45500</v>
      </c>
      <c r="G125" s="41" t="s">
        <v>1</v>
      </c>
      <c r="H125" s="80" t="s">
        <v>10</v>
      </c>
      <c r="I125" s="80" t="s">
        <v>11</v>
      </c>
      <c r="J125" s="80" t="s">
        <v>696</v>
      </c>
      <c r="K125" s="80" t="s">
        <v>349</v>
      </c>
      <c r="L125" s="42" t="s">
        <v>445</v>
      </c>
      <c r="M125" s="43" t="s">
        <v>756</v>
      </c>
      <c r="N125" s="89" t="s">
        <v>760</v>
      </c>
      <c r="O125" s="74" t="s">
        <v>665</v>
      </c>
      <c r="P125" s="74" t="s">
        <v>666</v>
      </c>
    </row>
    <row r="126" spans="1:16" ht="25.05" customHeight="1">
      <c r="A126" s="55" t="s">
        <v>644</v>
      </c>
      <c r="B126" s="42" t="s">
        <v>659</v>
      </c>
      <c r="C126" s="81" t="s">
        <v>755</v>
      </c>
      <c r="D126" s="16" t="s">
        <v>762</v>
      </c>
      <c r="E126" s="81" t="s">
        <v>755</v>
      </c>
      <c r="F126" s="81" t="s">
        <v>755</v>
      </c>
      <c r="G126" s="81" t="s">
        <v>755</v>
      </c>
      <c r="H126" s="42" t="s">
        <v>645</v>
      </c>
      <c r="I126" s="81" t="s">
        <v>755</v>
      </c>
      <c r="J126" s="81" t="s">
        <v>755</v>
      </c>
      <c r="K126" s="81" t="s">
        <v>755</v>
      </c>
      <c r="L126" s="42" t="s">
        <v>445</v>
      </c>
      <c r="M126" s="68" t="s">
        <v>757</v>
      </c>
      <c r="N126" s="89" t="s">
        <v>760</v>
      </c>
      <c r="O126" s="74" t="s">
        <v>665</v>
      </c>
      <c r="P126" s="74" t="s">
        <v>666</v>
      </c>
    </row>
    <row r="127" spans="1:16" ht="25.05" customHeight="1">
      <c r="A127" s="55" t="s">
        <v>649</v>
      </c>
      <c r="B127" s="42" t="s">
        <v>651</v>
      </c>
      <c r="C127" s="15">
        <f>DATE(2023,7,25)</f>
        <v>45132</v>
      </c>
      <c r="D127" s="16" t="s">
        <v>762</v>
      </c>
      <c r="E127" s="42">
        <v>12</v>
      </c>
      <c r="F127" s="15">
        <f>EDATE(C127,12)</f>
        <v>45498</v>
      </c>
      <c r="G127" s="42" t="s">
        <v>652</v>
      </c>
      <c r="H127" s="42" t="s">
        <v>695</v>
      </c>
      <c r="I127" s="42" t="s">
        <v>694</v>
      </c>
      <c r="J127" s="81" t="s">
        <v>755</v>
      </c>
      <c r="K127" s="42" t="s">
        <v>655</v>
      </c>
      <c r="L127" s="42" t="s">
        <v>656</v>
      </c>
      <c r="M127" s="76" t="s">
        <v>756</v>
      </c>
      <c r="N127" s="89" t="s">
        <v>760</v>
      </c>
      <c r="O127" s="74" t="s">
        <v>665</v>
      </c>
      <c r="P127" s="74" t="s">
        <v>666</v>
      </c>
    </row>
    <row r="128" spans="1:16" ht="25.05" customHeight="1">
      <c r="A128" s="55" t="s">
        <v>650</v>
      </c>
      <c r="B128" s="42" t="s">
        <v>651</v>
      </c>
      <c r="C128" s="15">
        <f>DATE(2023,7,25)</f>
        <v>45132</v>
      </c>
      <c r="D128" s="16" t="s">
        <v>762</v>
      </c>
      <c r="E128" s="42">
        <v>12</v>
      </c>
      <c r="F128" s="15">
        <f>EDATE(C128,12)</f>
        <v>45498</v>
      </c>
      <c r="G128" s="42" t="s">
        <v>652</v>
      </c>
      <c r="H128" s="42" t="s">
        <v>654</v>
      </c>
      <c r="I128" s="42" t="s">
        <v>657</v>
      </c>
      <c r="J128" s="81" t="s">
        <v>755</v>
      </c>
      <c r="K128" s="42" t="s">
        <v>658</v>
      </c>
      <c r="L128" s="42" t="s">
        <v>656</v>
      </c>
      <c r="M128" s="76" t="s">
        <v>756</v>
      </c>
      <c r="N128" s="89" t="s">
        <v>760</v>
      </c>
      <c r="O128" s="74" t="s">
        <v>665</v>
      </c>
      <c r="P128" s="74" t="s">
        <v>666</v>
      </c>
    </row>
    <row r="129" spans="1:16" ht="25.05" customHeight="1">
      <c r="A129" s="55" t="s">
        <v>653</v>
      </c>
      <c r="B129" s="42" t="s">
        <v>660</v>
      </c>
      <c r="C129" s="81" t="s">
        <v>755</v>
      </c>
      <c r="D129" s="16" t="s">
        <v>762</v>
      </c>
      <c r="E129" s="81" t="s">
        <v>755</v>
      </c>
      <c r="F129" s="81" t="s">
        <v>755</v>
      </c>
      <c r="G129" s="81" t="s">
        <v>755</v>
      </c>
      <c r="H129" s="42" t="s">
        <v>661</v>
      </c>
      <c r="I129" s="42" t="s">
        <v>660</v>
      </c>
      <c r="J129" s="42">
        <v>57243</v>
      </c>
      <c r="K129" s="42" t="s">
        <v>662</v>
      </c>
      <c r="L129" s="42" t="s">
        <v>616</v>
      </c>
      <c r="M129" s="68" t="s">
        <v>757</v>
      </c>
      <c r="N129" s="89" t="s">
        <v>760</v>
      </c>
      <c r="O129" s="74" t="s">
        <v>665</v>
      </c>
      <c r="P129" s="74" t="s">
        <v>666</v>
      </c>
    </row>
    <row r="130" spans="1:16" ht="25.05" customHeight="1">
      <c r="A130" s="55" t="s">
        <v>672</v>
      </c>
      <c r="B130" s="42" t="s">
        <v>667</v>
      </c>
      <c r="C130" s="44">
        <f>DATE(2023,7,28)</f>
        <v>45135</v>
      </c>
      <c r="D130" s="16" t="s">
        <v>762</v>
      </c>
      <c r="E130" s="42">
        <v>12</v>
      </c>
      <c r="F130" s="15">
        <f>EDATE(C130,12)</f>
        <v>45501</v>
      </c>
      <c r="G130" s="42" t="s">
        <v>668</v>
      </c>
      <c r="H130" s="42" t="s">
        <v>669</v>
      </c>
      <c r="I130" s="42" t="s">
        <v>670</v>
      </c>
      <c r="J130" s="42">
        <v>1820</v>
      </c>
      <c r="K130" s="42" t="s">
        <v>671</v>
      </c>
      <c r="L130" s="42" t="s">
        <v>616</v>
      </c>
      <c r="M130" s="76" t="s">
        <v>756</v>
      </c>
      <c r="N130" s="89" t="s">
        <v>760</v>
      </c>
      <c r="O130" s="74" t="s">
        <v>665</v>
      </c>
      <c r="P130" s="74" t="s">
        <v>666</v>
      </c>
    </row>
    <row r="131" spans="1:16" ht="25.05" customHeight="1">
      <c r="A131" s="51" t="s">
        <v>676</v>
      </c>
      <c r="B131" s="19" t="s">
        <v>677</v>
      </c>
      <c r="C131" s="81" t="s">
        <v>755</v>
      </c>
      <c r="D131" s="16" t="s">
        <v>762</v>
      </c>
      <c r="E131" s="81" t="s">
        <v>755</v>
      </c>
      <c r="F131" s="81" t="s">
        <v>755</v>
      </c>
      <c r="G131" s="81" t="s">
        <v>755</v>
      </c>
      <c r="H131" s="19" t="s">
        <v>678</v>
      </c>
      <c r="I131" s="19" t="s">
        <v>679</v>
      </c>
      <c r="J131" s="19" t="s">
        <v>680</v>
      </c>
      <c r="K131" s="19" t="s">
        <v>681</v>
      </c>
      <c r="L131" s="42" t="s">
        <v>682</v>
      </c>
      <c r="M131" s="65" t="s">
        <v>757</v>
      </c>
      <c r="N131" s="89" t="s">
        <v>760</v>
      </c>
      <c r="O131" s="74" t="s">
        <v>665</v>
      </c>
      <c r="P131" s="74" t="s">
        <v>666</v>
      </c>
    </row>
    <row r="132" spans="1:16" ht="25.05" customHeight="1">
      <c r="A132" s="51" t="s">
        <v>686</v>
      </c>
      <c r="B132" s="19" t="s">
        <v>687</v>
      </c>
      <c r="C132" s="81" t="s">
        <v>755</v>
      </c>
      <c r="D132" s="16" t="s">
        <v>762</v>
      </c>
      <c r="E132" s="81" t="s">
        <v>755</v>
      </c>
      <c r="F132" s="81" t="s">
        <v>755</v>
      </c>
      <c r="G132" s="81" t="s">
        <v>755</v>
      </c>
      <c r="H132" s="19" t="s">
        <v>688</v>
      </c>
      <c r="I132" s="81" t="s">
        <v>755</v>
      </c>
      <c r="J132" s="81" t="s">
        <v>755</v>
      </c>
      <c r="K132" s="19" t="s">
        <v>689</v>
      </c>
      <c r="L132" s="42" t="s">
        <v>690</v>
      </c>
      <c r="M132" s="65" t="s">
        <v>757</v>
      </c>
      <c r="N132" s="89" t="s">
        <v>760</v>
      </c>
      <c r="O132" s="74" t="s">
        <v>665</v>
      </c>
      <c r="P132" s="74" t="s">
        <v>666</v>
      </c>
    </row>
    <row r="133" spans="1:16" ht="25.05" customHeight="1">
      <c r="A133" s="51" t="s">
        <v>697</v>
      </c>
      <c r="B133" s="19" t="s">
        <v>702</v>
      </c>
      <c r="C133" s="81" t="s">
        <v>755</v>
      </c>
      <c r="D133" s="16" t="s">
        <v>762</v>
      </c>
      <c r="E133" s="81" t="s">
        <v>755</v>
      </c>
      <c r="F133" s="81" t="s">
        <v>755</v>
      </c>
      <c r="G133" s="81" t="s">
        <v>755</v>
      </c>
      <c r="H133" s="19" t="s">
        <v>703</v>
      </c>
      <c r="I133" s="69" t="s">
        <v>704</v>
      </c>
      <c r="J133" s="69">
        <v>101751</v>
      </c>
      <c r="K133" s="19" t="s">
        <v>705</v>
      </c>
      <c r="L133" s="42" t="s">
        <v>616</v>
      </c>
      <c r="M133" s="65" t="s">
        <v>757</v>
      </c>
      <c r="N133" s="89" t="s">
        <v>760</v>
      </c>
      <c r="O133" s="74" t="s">
        <v>665</v>
      </c>
      <c r="P133" s="74" t="s">
        <v>666</v>
      </c>
    </row>
    <row r="134" spans="1:16" ht="25.05" customHeight="1">
      <c r="A134" s="51" t="s">
        <v>698</v>
      </c>
      <c r="B134" s="19" t="s">
        <v>727</v>
      </c>
      <c r="C134" s="81" t="s">
        <v>755</v>
      </c>
      <c r="D134" s="16" t="s">
        <v>762</v>
      </c>
      <c r="E134" s="81" t="s">
        <v>755</v>
      </c>
      <c r="F134" s="81" t="s">
        <v>755</v>
      </c>
      <c r="G134" s="81" t="s">
        <v>755</v>
      </c>
      <c r="H134" s="19" t="s">
        <v>706</v>
      </c>
      <c r="I134" s="69" t="s">
        <v>707</v>
      </c>
      <c r="J134" s="83" t="s">
        <v>726</v>
      </c>
      <c r="K134" s="19" t="s">
        <v>720</v>
      </c>
      <c r="L134" s="42" t="s">
        <v>616</v>
      </c>
      <c r="M134" s="65" t="s">
        <v>757</v>
      </c>
      <c r="N134" s="89" t="s">
        <v>760</v>
      </c>
      <c r="O134" s="74" t="s">
        <v>665</v>
      </c>
      <c r="P134" s="74" t="s">
        <v>666</v>
      </c>
    </row>
    <row r="135" spans="1:16" ht="25.05" customHeight="1">
      <c r="A135" s="51" t="s">
        <v>699</v>
      </c>
      <c r="B135" s="19" t="s">
        <v>708</v>
      </c>
      <c r="C135" s="81" t="s">
        <v>755</v>
      </c>
      <c r="D135" s="16" t="s">
        <v>762</v>
      </c>
      <c r="E135" s="81" t="s">
        <v>755</v>
      </c>
      <c r="F135" s="81" t="s">
        <v>755</v>
      </c>
      <c r="G135" s="81" t="s">
        <v>755</v>
      </c>
      <c r="H135" s="19" t="s">
        <v>709</v>
      </c>
      <c r="I135" s="69" t="s">
        <v>710</v>
      </c>
      <c r="J135" s="69">
        <v>131448</v>
      </c>
      <c r="K135" s="19" t="s">
        <v>711</v>
      </c>
      <c r="L135" s="42" t="s">
        <v>616</v>
      </c>
      <c r="M135" s="65" t="s">
        <v>757</v>
      </c>
      <c r="N135" s="89" t="s">
        <v>760</v>
      </c>
      <c r="O135" s="74" t="s">
        <v>665</v>
      </c>
      <c r="P135" s="74" t="s">
        <v>666</v>
      </c>
    </row>
    <row r="136" spans="1:16" ht="25.05" customHeight="1">
      <c r="A136" s="51" t="s">
        <v>700</v>
      </c>
      <c r="B136" s="19" t="s">
        <v>712</v>
      </c>
      <c r="C136" s="81" t="s">
        <v>755</v>
      </c>
      <c r="D136" s="16" t="s">
        <v>762</v>
      </c>
      <c r="E136" s="81" t="s">
        <v>755</v>
      </c>
      <c r="F136" s="81" t="s">
        <v>755</v>
      </c>
      <c r="G136" s="81" t="s">
        <v>755</v>
      </c>
      <c r="H136" s="19" t="s">
        <v>714</v>
      </c>
      <c r="I136" s="69" t="s">
        <v>715</v>
      </c>
      <c r="J136" s="69" t="s">
        <v>716</v>
      </c>
      <c r="K136" s="19" t="s">
        <v>713</v>
      </c>
      <c r="L136" s="42" t="s">
        <v>616</v>
      </c>
      <c r="M136" s="65" t="s">
        <v>757</v>
      </c>
      <c r="N136" s="89" t="s">
        <v>760</v>
      </c>
      <c r="O136" s="74" t="s">
        <v>665</v>
      </c>
      <c r="P136" s="74" t="s">
        <v>666</v>
      </c>
    </row>
    <row r="137" spans="1:16" ht="25.05" customHeight="1">
      <c r="A137" s="51" t="s">
        <v>701</v>
      </c>
      <c r="B137" s="19" t="s">
        <v>717</v>
      </c>
      <c r="C137" s="82">
        <f>DATE(2023,2,13)</f>
        <v>44970</v>
      </c>
      <c r="D137" s="16" t="s">
        <v>762</v>
      </c>
      <c r="E137" s="69">
        <v>24</v>
      </c>
      <c r="F137" s="15">
        <f>EDATE(C137,24)</f>
        <v>45701</v>
      </c>
      <c r="G137" s="69" t="s">
        <v>578</v>
      </c>
      <c r="H137" s="19" t="s">
        <v>714</v>
      </c>
      <c r="I137" s="69" t="s">
        <v>718</v>
      </c>
      <c r="J137" s="69" t="s">
        <v>728</v>
      </c>
      <c r="K137" s="19" t="s">
        <v>719</v>
      </c>
      <c r="L137" s="42" t="s">
        <v>616</v>
      </c>
      <c r="M137" s="76" t="s">
        <v>756</v>
      </c>
      <c r="N137" s="89" t="s">
        <v>760</v>
      </c>
      <c r="O137" s="74" t="s">
        <v>665</v>
      </c>
      <c r="P137" s="74" t="s">
        <v>666</v>
      </c>
    </row>
    <row r="138" spans="1:16" ht="25.05" customHeight="1">
      <c r="A138" s="51" t="s">
        <v>721</v>
      </c>
      <c r="B138" s="19" t="s">
        <v>722</v>
      </c>
      <c r="C138" s="81" t="s">
        <v>755</v>
      </c>
      <c r="D138" s="16" t="s">
        <v>762</v>
      </c>
      <c r="E138" s="81" t="s">
        <v>755</v>
      </c>
      <c r="F138" s="81" t="s">
        <v>755</v>
      </c>
      <c r="G138" s="81" t="s">
        <v>755</v>
      </c>
      <c r="H138" s="19" t="s">
        <v>729</v>
      </c>
      <c r="I138" s="69" t="s">
        <v>723</v>
      </c>
      <c r="J138" s="69" t="s">
        <v>724</v>
      </c>
      <c r="K138" s="19" t="s">
        <v>725</v>
      </c>
      <c r="L138" s="42" t="s">
        <v>616</v>
      </c>
      <c r="M138" s="65" t="s">
        <v>757</v>
      </c>
      <c r="N138" s="89" t="s">
        <v>760</v>
      </c>
      <c r="O138" s="74" t="s">
        <v>665</v>
      </c>
      <c r="P138" s="74" t="s">
        <v>666</v>
      </c>
    </row>
    <row r="139" spans="1:16" ht="25.05" customHeight="1">
      <c r="A139" s="51" t="s">
        <v>754</v>
      </c>
      <c r="B139" s="18" t="s">
        <v>748</v>
      </c>
      <c r="C139" s="71">
        <f>DATE(2023,10,5)</f>
        <v>45204</v>
      </c>
      <c r="D139" s="16" t="s">
        <v>762</v>
      </c>
      <c r="E139" s="69">
        <v>12</v>
      </c>
      <c r="F139" s="15">
        <f>EDATE(C139,12)</f>
        <v>45570</v>
      </c>
      <c r="G139" s="18" t="s">
        <v>749</v>
      </c>
      <c r="H139" s="18" t="s">
        <v>750</v>
      </c>
      <c r="I139" s="18" t="s">
        <v>751</v>
      </c>
      <c r="J139" s="18">
        <v>631511</v>
      </c>
      <c r="K139" s="18" t="s">
        <v>752</v>
      </c>
      <c r="L139" s="42" t="s">
        <v>616</v>
      </c>
      <c r="M139" s="76" t="s">
        <v>756</v>
      </c>
      <c r="N139" s="89" t="s">
        <v>760</v>
      </c>
      <c r="O139" s="74" t="s">
        <v>665</v>
      </c>
      <c r="P139" s="74" t="s">
        <v>666</v>
      </c>
    </row>
    <row r="140" spans="1:16" ht="25.05" customHeight="1">
      <c r="N140" s="89" t="s">
        <v>760</v>
      </c>
    </row>
    <row r="141" spans="1:16" ht="25.05" customHeight="1">
      <c r="N141" s="89" t="s">
        <v>760</v>
      </c>
    </row>
    <row r="142" spans="1:16" ht="25.05" customHeight="1">
      <c r="N142" s="89" t="s">
        <v>760</v>
      </c>
    </row>
    <row r="143" spans="1:16" ht="25.05" customHeight="1">
      <c r="N143" s="89" t="s">
        <v>760</v>
      </c>
    </row>
    <row r="144" spans="1:16" ht="25.05" customHeight="1">
      <c r="N144" s="89" t="s">
        <v>760</v>
      </c>
    </row>
    <row r="145" spans="14:14" ht="25.05" customHeight="1">
      <c r="N145" s="89" t="s">
        <v>760</v>
      </c>
    </row>
    <row r="146" spans="14:14" ht="25.05" customHeight="1">
      <c r="N146" s="89" t="s">
        <v>760</v>
      </c>
    </row>
    <row r="147" spans="14:14" ht="25.05" customHeight="1">
      <c r="N147" s="89" t="s">
        <v>760</v>
      </c>
    </row>
    <row r="148" spans="14:14" ht="25.05" customHeight="1">
      <c r="N148" s="89" t="s">
        <v>760</v>
      </c>
    </row>
    <row r="149" spans="14:14" ht="25.05" customHeight="1">
      <c r="N149" s="89" t="s">
        <v>760</v>
      </c>
    </row>
    <row r="150" spans="14:14" ht="25.05" customHeight="1">
      <c r="N150" s="89" t="s">
        <v>760</v>
      </c>
    </row>
    <row r="151" spans="14:14" ht="25.05" customHeight="1">
      <c r="N151" s="89" t="s">
        <v>760</v>
      </c>
    </row>
    <row r="152" spans="14:14" ht="25.05" customHeight="1">
      <c r="N152" s="89" t="s">
        <v>760</v>
      </c>
    </row>
    <row r="153" spans="14:14" ht="25.05" customHeight="1">
      <c r="N153" s="89" t="s">
        <v>760</v>
      </c>
    </row>
    <row r="154" spans="14:14" ht="25.05" customHeight="1">
      <c r="N154" s="89" t="s">
        <v>760</v>
      </c>
    </row>
    <row r="155" spans="14:14" ht="25.05" customHeight="1">
      <c r="N155" s="89" t="s">
        <v>760</v>
      </c>
    </row>
    <row r="156" spans="14:14" ht="25.05" customHeight="1">
      <c r="N156" s="89" t="s">
        <v>760</v>
      </c>
    </row>
    <row r="157" spans="14:14" ht="25.05" customHeight="1">
      <c r="N157" s="89" t="s">
        <v>760</v>
      </c>
    </row>
    <row r="158" spans="14:14" ht="25.05" customHeight="1">
      <c r="N158" s="89" t="s">
        <v>760</v>
      </c>
    </row>
    <row r="159" spans="14:14" ht="25.05" customHeight="1">
      <c r="N159" s="89" t="s">
        <v>760</v>
      </c>
    </row>
    <row r="160" spans="14:14" ht="25.05" customHeight="1">
      <c r="N160" s="89" t="s">
        <v>760</v>
      </c>
    </row>
    <row r="161" spans="14:14" ht="25.05" customHeight="1">
      <c r="N161" s="89" t="s">
        <v>760</v>
      </c>
    </row>
    <row r="162" spans="14:14" ht="25.05" customHeight="1">
      <c r="N162" s="89" t="s">
        <v>760</v>
      </c>
    </row>
    <row r="163" spans="14:14" ht="25.05" customHeight="1">
      <c r="N163" s="89" t="s">
        <v>760</v>
      </c>
    </row>
    <row r="164" spans="14:14" ht="25.05" customHeight="1">
      <c r="N164" s="89" t="s">
        <v>760</v>
      </c>
    </row>
    <row r="165" spans="14:14" ht="25.05" customHeight="1">
      <c r="N165" s="89" t="s">
        <v>760</v>
      </c>
    </row>
    <row r="166" spans="14:14" ht="25.05" customHeight="1">
      <c r="N166" s="89" t="s">
        <v>760</v>
      </c>
    </row>
    <row r="167" spans="14:14" ht="25.05" customHeight="1">
      <c r="N167" s="89" t="s">
        <v>760</v>
      </c>
    </row>
    <row r="168" spans="14:14" ht="25.05" customHeight="1">
      <c r="N168" s="89" t="s">
        <v>760</v>
      </c>
    </row>
    <row r="169" spans="14:14" ht="25.05" customHeight="1">
      <c r="N169" s="89" t="s">
        <v>760</v>
      </c>
    </row>
    <row r="170" spans="14:14" ht="25.05" customHeight="1">
      <c r="N170" s="89" t="s">
        <v>760</v>
      </c>
    </row>
    <row r="171" spans="14:14" ht="25.05" customHeight="1">
      <c r="N171" s="89" t="s">
        <v>760</v>
      </c>
    </row>
  </sheetData>
  <autoFilter ref="A2:P139" xr:uid="{00000000-0001-0000-0000-000000000000}"/>
  <phoneticPr fontId="8" type="noConversion"/>
  <printOptions horizontalCentered="1"/>
  <pageMargins left="0" right="0" top="0.74803149606299213" bottom="0.74803149606299213" header="0.31496062992125984" footer="0.31496062992125984"/>
  <pageSetup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4" workbookViewId="0">
      <selection activeCell="H30" sqref="H30:J35"/>
    </sheetView>
  </sheetViews>
  <sheetFormatPr defaultRowHeight="17.399999999999999"/>
  <cols>
    <col min="1" max="1" width="4.5" customWidth="1"/>
    <col min="2" max="2" width="30.19921875" customWidth="1"/>
    <col min="3" max="3" width="25.796875" customWidth="1"/>
    <col min="4" max="4" width="19.3984375" customWidth="1"/>
    <col min="5" max="5" width="16.3984375" customWidth="1"/>
    <col min="6" max="6" width="15.19921875" bestFit="1" customWidth="1"/>
    <col min="7" max="7" width="7.19921875" customWidth="1"/>
    <col min="8" max="8" width="12.19921875" customWidth="1"/>
    <col min="9" max="9" width="9.5" style="10" customWidth="1"/>
    <col min="10" max="10" width="11.19921875" customWidth="1"/>
    <col min="11" max="11" width="40.19921875" customWidth="1"/>
    <col min="12" max="12" width="21.3984375" customWidth="1"/>
    <col min="13" max="13" width="9.19921875" customWidth="1"/>
  </cols>
  <sheetData>
    <row r="1" spans="1:12" s="1" customFormat="1" ht="13.8" thickBot="1">
      <c r="A1" s="13" t="s">
        <v>203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187</v>
      </c>
      <c r="H1" s="1" t="s">
        <v>188</v>
      </c>
      <c r="I1" s="8" t="s">
        <v>192</v>
      </c>
      <c r="J1" s="1" t="s">
        <v>189</v>
      </c>
      <c r="K1" s="1" t="s">
        <v>190</v>
      </c>
      <c r="L1" s="1" t="s">
        <v>191</v>
      </c>
    </row>
    <row r="2" spans="1:12" ht="12" customHeight="1">
      <c r="A2" s="11">
        <v>1</v>
      </c>
      <c r="B2" s="2" t="s">
        <v>22</v>
      </c>
      <c r="C2" s="2" t="s">
        <v>0</v>
      </c>
      <c r="D2" s="3" t="s">
        <v>33</v>
      </c>
      <c r="E2" s="3" t="s">
        <v>34</v>
      </c>
      <c r="F2" s="2" t="s">
        <v>35</v>
      </c>
      <c r="G2" s="2" t="s">
        <v>1</v>
      </c>
      <c r="H2" s="4">
        <v>42234</v>
      </c>
      <c r="I2" s="2">
        <v>12</v>
      </c>
      <c r="J2" s="4">
        <v>42600</v>
      </c>
      <c r="K2" s="2" t="s">
        <v>23</v>
      </c>
      <c r="L2" s="2" t="s">
        <v>198</v>
      </c>
    </row>
    <row r="3" spans="1:12" ht="12" customHeight="1">
      <c r="A3" s="12">
        <v>2</v>
      </c>
      <c r="B3" s="2" t="s">
        <v>32</v>
      </c>
      <c r="C3" s="2" t="s">
        <v>0</v>
      </c>
      <c r="D3" s="3" t="s">
        <v>81</v>
      </c>
      <c r="E3" s="3" t="s">
        <v>82</v>
      </c>
      <c r="F3" s="2" t="s">
        <v>83</v>
      </c>
      <c r="G3" s="2" t="s">
        <v>1</v>
      </c>
      <c r="H3" s="4">
        <v>42234</v>
      </c>
      <c r="I3" s="2">
        <v>12</v>
      </c>
      <c r="J3" s="4">
        <v>42600</v>
      </c>
      <c r="K3" s="2" t="s">
        <v>84</v>
      </c>
      <c r="L3" s="2" t="s">
        <v>198</v>
      </c>
    </row>
    <row r="4" spans="1:12" ht="12" customHeight="1">
      <c r="A4" s="12">
        <v>3</v>
      </c>
      <c r="B4" s="2" t="s">
        <v>32</v>
      </c>
      <c r="C4" s="2" t="s">
        <v>0</v>
      </c>
      <c r="D4" s="3" t="s">
        <v>77</v>
      </c>
      <c r="E4" s="3" t="s">
        <v>78</v>
      </c>
      <c r="F4" s="2" t="s">
        <v>79</v>
      </c>
      <c r="G4" s="2" t="s">
        <v>1</v>
      </c>
      <c r="H4" s="4">
        <v>42234</v>
      </c>
      <c r="I4" s="2">
        <v>12</v>
      </c>
      <c r="J4" s="4">
        <v>42600</v>
      </c>
      <c r="K4" s="2" t="s">
        <v>80</v>
      </c>
      <c r="L4" s="2" t="s">
        <v>198</v>
      </c>
    </row>
    <row r="5" spans="1:12" ht="12" customHeight="1">
      <c r="A5" s="12">
        <v>4</v>
      </c>
      <c r="B5" s="2" t="s">
        <v>32</v>
      </c>
      <c r="C5" s="2" t="s">
        <v>0</v>
      </c>
      <c r="D5" s="3" t="s">
        <v>124</v>
      </c>
      <c r="E5" s="3" t="s">
        <v>125</v>
      </c>
      <c r="F5" s="2" t="s">
        <v>126</v>
      </c>
      <c r="G5" s="2" t="s">
        <v>1</v>
      </c>
      <c r="H5" s="4">
        <v>42234</v>
      </c>
      <c r="I5" s="2">
        <v>12</v>
      </c>
      <c r="J5" s="4">
        <v>42600</v>
      </c>
      <c r="K5" s="2" t="s">
        <v>127</v>
      </c>
      <c r="L5" s="2" t="s">
        <v>198</v>
      </c>
    </row>
    <row r="6" spans="1:12" ht="26.4">
      <c r="A6" s="12">
        <v>5</v>
      </c>
      <c r="B6" s="2" t="s">
        <v>96</v>
      </c>
      <c r="C6" s="2" t="s">
        <v>97</v>
      </c>
      <c r="D6" s="3" t="s">
        <v>98</v>
      </c>
      <c r="E6" s="6" t="s">
        <v>99</v>
      </c>
      <c r="F6" s="2" t="s">
        <v>100</v>
      </c>
      <c r="G6" s="2" t="s">
        <v>1</v>
      </c>
      <c r="H6" s="4">
        <v>42234</v>
      </c>
      <c r="I6" s="2">
        <v>12</v>
      </c>
      <c r="J6" s="4">
        <v>42600</v>
      </c>
      <c r="K6" s="2" t="s">
        <v>101</v>
      </c>
      <c r="L6" s="2" t="s">
        <v>198</v>
      </c>
    </row>
    <row r="7" spans="1:12" ht="12" customHeight="1">
      <c r="A7" s="12">
        <v>6</v>
      </c>
      <c r="B7" s="2" t="s">
        <v>59</v>
      </c>
      <c r="C7" s="2" t="s">
        <v>110</v>
      </c>
      <c r="D7" s="3" t="s">
        <v>142</v>
      </c>
      <c r="E7" s="3" t="s">
        <v>143</v>
      </c>
      <c r="F7" s="2" t="s">
        <v>144</v>
      </c>
      <c r="G7" s="2" t="s">
        <v>1</v>
      </c>
      <c r="H7" s="4">
        <v>42234</v>
      </c>
      <c r="I7" s="2">
        <v>12</v>
      </c>
      <c r="J7" s="4">
        <v>42600</v>
      </c>
      <c r="K7" s="2" t="s">
        <v>145</v>
      </c>
      <c r="L7" s="2" t="s">
        <v>198</v>
      </c>
    </row>
    <row r="8" spans="1:12" ht="12" customHeight="1">
      <c r="A8" s="12">
        <v>7</v>
      </c>
      <c r="B8" s="2" t="s">
        <v>59</v>
      </c>
      <c r="C8" s="2" t="s">
        <v>60</v>
      </c>
      <c r="D8" s="3" t="s">
        <v>61</v>
      </c>
      <c r="E8" s="3" t="s">
        <v>62</v>
      </c>
      <c r="F8" s="2" t="s">
        <v>63</v>
      </c>
      <c r="G8" s="2" t="s">
        <v>1</v>
      </c>
      <c r="H8" s="4">
        <v>42234</v>
      </c>
      <c r="I8" s="2">
        <v>12</v>
      </c>
      <c r="J8" s="4">
        <v>42600</v>
      </c>
      <c r="K8" s="2" t="s">
        <v>64</v>
      </c>
      <c r="L8" s="2" t="s">
        <v>198</v>
      </c>
    </row>
    <row r="9" spans="1:12" ht="12" customHeight="1">
      <c r="A9" s="12">
        <v>8</v>
      </c>
      <c r="B9" s="2" t="s">
        <v>59</v>
      </c>
      <c r="C9" s="2" t="s">
        <v>110</v>
      </c>
      <c r="D9" s="3" t="s">
        <v>111</v>
      </c>
      <c r="E9" s="3" t="s">
        <v>112</v>
      </c>
      <c r="F9" s="2" t="s">
        <v>113</v>
      </c>
      <c r="G9" s="2" t="s">
        <v>1</v>
      </c>
      <c r="H9" s="4">
        <v>42234</v>
      </c>
      <c r="I9" s="2">
        <v>12</v>
      </c>
      <c r="J9" s="4">
        <v>42600</v>
      </c>
      <c r="K9" s="2" t="s">
        <v>114</v>
      </c>
      <c r="L9" s="2" t="s">
        <v>198</v>
      </c>
    </row>
    <row r="10" spans="1:12" ht="12" customHeight="1">
      <c r="A10" s="12">
        <v>9</v>
      </c>
      <c r="B10" s="2" t="s">
        <v>4</v>
      </c>
      <c r="C10" s="2" t="s">
        <v>0</v>
      </c>
      <c r="D10" s="3" t="s">
        <v>55</v>
      </c>
      <c r="E10" s="3" t="s">
        <v>56</v>
      </c>
      <c r="F10" s="2" t="s">
        <v>57</v>
      </c>
      <c r="G10" s="2" t="s">
        <v>1</v>
      </c>
      <c r="H10" s="4">
        <v>42234</v>
      </c>
      <c r="I10" s="2">
        <v>12</v>
      </c>
      <c r="J10" s="4">
        <v>42600</v>
      </c>
      <c r="K10" s="2" t="s">
        <v>58</v>
      </c>
      <c r="L10" s="2" t="s">
        <v>198</v>
      </c>
    </row>
    <row r="11" spans="1:12" ht="12" customHeight="1">
      <c r="A11" s="12">
        <v>10</v>
      </c>
      <c r="B11" s="2" t="s">
        <v>4</v>
      </c>
      <c r="C11" s="2" t="s">
        <v>0</v>
      </c>
      <c r="D11" s="3" t="s">
        <v>68</v>
      </c>
      <c r="E11" s="3" t="s">
        <v>69</v>
      </c>
      <c r="F11" s="2" t="s">
        <v>70</v>
      </c>
      <c r="G11" s="2" t="s">
        <v>1</v>
      </c>
      <c r="H11" s="4">
        <v>42234</v>
      </c>
      <c r="I11" s="2">
        <v>12</v>
      </c>
      <c r="J11" s="4">
        <v>42600</v>
      </c>
      <c r="K11" s="2" t="s">
        <v>71</v>
      </c>
      <c r="L11" s="2" t="s">
        <v>198</v>
      </c>
    </row>
    <row r="12" spans="1:12" ht="12" customHeight="1">
      <c r="A12" s="12">
        <v>11</v>
      </c>
      <c r="B12" s="2" t="s">
        <v>65</v>
      </c>
      <c r="C12" s="2" t="s">
        <v>66</v>
      </c>
      <c r="D12" s="3" t="s">
        <v>67</v>
      </c>
      <c r="E12" s="3" t="s">
        <v>72</v>
      </c>
      <c r="F12" s="2" t="s">
        <v>73</v>
      </c>
      <c r="G12" s="2" t="s">
        <v>1</v>
      </c>
      <c r="H12" s="4">
        <v>42234</v>
      </c>
      <c r="I12" s="2">
        <v>12</v>
      </c>
      <c r="J12" s="4">
        <v>42600</v>
      </c>
      <c r="K12" s="2" t="s">
        <v>193</v>
      </c>
      <c r="L12" s="2" t="s">
        <v>198</v>
      </c>
    </row>
    <row r="13" spans="1:12" ht="12" customHeight="1">
      <c r="A13" s="12">
        <v>12</v>
      </c>
      <c r="B13" s="2" t="s">
        <v>65</v>
      </c>
      <c r="C13" s="2" t="s">
        <v>66</v>
      </c>
      <c r="D13" s="3" t="s">
        <v>67</v>
      </c>
      <c r="E13" s="3" t="s">
        <v>94</v>
      </c>
      <c r="F13" s="2" t="s">
        <v>95</v>
      </c>
      <c r="G13" s="2" t="s">
        <v>1</v>
      </c>
      <c r="H13" s="4">
        <v>42234</v>
      </c>
      <c r="I13" s="2">
        <v>12</v>
      </c>
      <c r="J13" s="4">
        <v>42600</v>
      </c>
      <c r="K13" s="2" t="s">
        <v>193</v>
      </c>
      <c r="L13" s="2" t="s">
        <v>198</v>
      </c>
    </row>
    <row r="14" spans="1:12" ht="12" customHeight="1">
      <c r="A14" s="12">
        <v>13</v>
      </c>
      <c r="B14" s="2" t="s">
        <v>85</v>
      </c>
      <c r="C14" s="2" t="s">
        <v>0</v>
      </c>
      <c r="D14" s="3" t="s">
        <v>86</v>
      </c>
      <c r="E14" s="3" t="s">
        <v>140</v>
      </c>
      <c r="F14" s="2" t="s">
        <v>141</v>
      </c>
      <c r="G14" s="2" t="s">
        <v>1</v>
      </c>
      <c r="H14" s="4">
        <v>42234</v>
      </c>
      <c r="I14" s="2">
        <v>12</v>
      </c>
      <c r="J14" s="4">
        <v>42600</v>
      </c>
      <c r="K14" s="2" t="s">
        <v>89</v>
      </c>
      <c r="L14" s="2" t="s">
        <v>198</v>
      </c>
    </row>
    <row r="15" spans="1:12" ht="12" customHeight="1">
      <c r="A15" s="12">
        <v>14</v>
      </c>
      <c r="B15" s="2" t="s">
        <v>85</v>
      </c>
      <c r="C15" s="2" t="s">
        <v>0</v>
      </c>
      <c r="D15" s="3" t="s">
        <v>86</v>
      </c>
      <c r="E15" s="3" t="s">
        <v>87</v>
      </c>
      <c r="F15" s="2" t="s">
        <v>88</v>
      </c>
      <c r="G15" s="2" t="s">
        <v>1</v>
      </c>
      <c r="H15" s="4">
        <v>42234</v>
      </c>
      <c r="I15" s="2">
        <v>12</v>
      </c>
      <c r="J15" s="4">
        <v>42600</v>
      </c>
      <c r="K15" s="2" t="s">
        <v>89</v>
      </c>
      <c r="L15" s="2" t="s">
        <v>198</v>
      </c>
    </row>
    <row r="16" spans="1:12" ht="12" customHeight="1">
      <c r="A16" s="12">
        <v>15</v>
      </c>
      <c r="B16" s="2" t="s">
        <v>8</v>
      </c>
      <c r="C16" s="2" t="s">
        <v>12</v>
      </c>
      <c r="D16" s="3" t="s">
        <v>43</v>
      </c>
      <c r="E16" s="3" t="s">
        <v>44</v>
      </c>
      <c r="F16" s="2" t="s">
        <v>45</v>
      </c>
      <c r="G16" s="2" t="s">
        <v>12</v>
      </c>
      <c r="H16" s="4">
        <v>42233</v>
      </c>
      <c r="I16" s="2">
        <v>12</v>
      </c>
      <c r="J16" s="4">
        <v>42599</v>
      </c>
      <c r="K16" s="2" t="s">
        <v>46</v>
      </c>
      <c r="L16" s="2" t="s">
        <v>198</v>
      </c>
    </row>
    <row r="17" spans="1:12" ht="12" customHeight="1">
      <c r="A17" s="12">
        <v>16</v>
      </c>
      <c r="B17" s="2" t="s">
        <v>8</v>
      </c>
      <c r="C17" s="2" t="s">
        <v>12</v>
      </c>
      <c r="D17" s="3" t="s">
        <v>102</v>
      </c>
      <c r="E17" s="3" t="s">
        <v>103</v>
      </c>
      <c r="F17" s="2" t="s">
        <v>104</v>
      </c>
      <c r="G17" s="2" t="s">
        <v>12</v>
      </c>
      <c r="H17" s="4">
        <v>42277</v>
      </c>
      <c r="I17" s="2">
        <v>12</v>
      </c>
      <c r="J17" s="4">
        <v>42643</v>
      </c>
      <c r="K17" s="2" t="s">
        <v>105</v>
      </c>
      <c r="L17" s="2" t="s">
        <v>198</v>
      </c>
    </row>
    <row r="18" spans="1:12" ht="12" customHeight="1">
      <c r="A18" s="12">
        <v>17</v>
      </c>
      <c r="B18" s="2" t="s">
        <v>8</v>
      </c>
      <c r="C18" s="2" t="s">
        <v>12</v>
      </c>
      <c r="D18" s="3" t="s">
        <v>24</v>
      </c>
      <c r="E18" s="3" t="s">
        <v>25</v>
      </c>
      <c r="F18" s="2" t="s">
        <v>26</v>
      </c>
      <c r="G18" s="2" t="s">
        <v>12</v>
      </c>
      <c r="H18" s="4">
        <v>42236</v>
      </c>
      <c r="I18" s="2">
        <v>12</v>
      </c>
      <c r="J18" s="4">
        <v>42602</v>
      </c>
      <c r="K18" s="2" t="s">
        <v>27</v>
      </c>
      <c r="L18" s="2" t="s">
        <v>198</v>
      </c>
    </row>
    <row r="19" spans="1:12" ht="12" customHeight="1">
      <c r="A19" s="12">
        <v>18</v>
      </c>
      <c r="B19" s="2" t="s">
        <v>8</v>
      </c>
      <c r="C19" s="2" t="s">
        <v>12</v>
      </c>
      <c r="D19" s="3" t="s">
        <v>120</v>
      </c>
      <c r="E19" s="3" t="s">
        <v>121</v>
      </c>
      <c r="F19" s="2" t="s">
        <v>122</v>
      </c>
      <c r="G19" s="2" t="s">
        <v>12</v>
      </c>
      <c r="H19" s="4">
        <v>42276</v>
      </c>
      <c r="I19" s="2">
        <v>12</v>
      </c>
      <c r="J19" s="4">
        <v>42642</v>
      </c>
      <c r="K19" s="2" t="s">
        <v>123</v>
      </c>
      <c r="L19" s="2" t="s">
        <v>198</v>
      </c>
    </row>
    <row r="20" spans="1:12" ht="12" customHeight="1">
      <c r="A20" s="12">
        <v>19</v>
      </c>
      <c r="B20" s="2" t="s">
        <v>8</v>
      </c>
      <c r="C20" s="2" t="s">
        <v>12</v>
      </c>
      <c r="D20" s="3" t="s">
        <v>90</v>
      </c>
      <c r="E20" s="3" t="s">
        <v>91</v>
      </c>
      <c r="F20" s="2" t="s">
        <v>92</v>
      </c>
      <c r="G20" s="2" t="s">
        <v>12</v>
      </c>
      <c r="H20" s="4">
        <v>42276</v>
      </c>
      <c r="I20" s="2">
        <v>12</v>
      </c>
      <c r="J20" s="4">
        <v>42642</v>
      </c>
      <c r="K20" s="2" t="s">
        <v>93</v>
      </c>
      <c r="L20" s="2" t="s">
        <v>198</v>
      </c>
    </row>
    <row r="21" spans="1:12" ht="12" customHeight="1">
      <c r="A21" s="12">
        <v>20</v>
      </c>
      <c r="B21" s="2" t="s">
        <v>8</v>
      </c>
      <c r="C21" s="2" t="s">
        <v>12</v>
      </c>
      <c r="D21" s="3" t="s">
        <v>13</v>
      </c>
      <c r="E21" s="3" t="s">
        <v>14</v>
      </c>
      <c r="F21" s="2" t="s">
        <v>15</v>
      </c>
      <c r="G21" s="2" t="s">
        <v>12</v>
      </c>
      <c r="H21" s="4">
        <v>42276</v>
      </c>
      <c r="I21" s="2">
        <v>12</v>
      </c>
      <c r="J21" s="4">
        <v>42642</v>
      </c>
      <c r="K21" s="2" t="s">
        <v>16</v>
      </c>
      <c r="L21" s="2" t="s">
        <v>198</v>
      </c>
    </row>
    <row r="22" spans="1:12" ht="12" customHeight="1">
      <c r="A22" s="12">
        <v>21</v>
      </c>
      <c r="B22" s="2" t="s">
        <v>8</v>
      </c>
      <c r="C22" s="2" t="s">
        <v>12</v>
      </c>
      <c r="D22" s="3" t="s">
        <v>115</v>
      </c>
      <c r="E22" s="3" t="s">
        <v>116</v>
      </c>
      <c r="F22" s="2" t="s">
        <v>117</v>
      </c>
      <c r="G22" s="2" t="s">
        <v>12</v>
      </c>
      <c r="H22" s="4">
        <v>42275</v>
      </c>
      <c r="I22" s="2">
        <v>12</v>
      </c>
      <c r="J22" s="4">
        <v>42641</v>
      </c>
      <c r="K22" s="2" t="s">
        <v>50</v>
      </c>
      <c r="L22" s="2" t="s">
        <v>198</v>
      </c>
    </row>
    <row r="23" spans="1:12" ht="12" customHeight="1">
      <c r="A23" s="12">
        <v>22</v>
      </c>
      <c r="B23" s="2" t="s">
        <v>8</v>
      </c>
      <c r="C23" s="2" t="s">
        <v>12</v>
      </c>
      <c r="D23" s="3" t="s">
        <v>47</v>
      </c>
      <c r="E23" s="3" t="s">
        <v>48</v>
      </c>
      <c r="F23" s="2" t="s">
        <v>49</v>
      </c>
      <c r="G23" s="2" t="s">
        <v>12</v>
      </c>
      <c r="H23" s="4">
        <v>42242</v>
      </c>
      <c r="I23" s="2">
        <v>12</v>
      </c>
      <c r="J23" s="4">
        <v>42608</v>
      </c>
      <c r="K23" s="2" t="s">
        <v>196</v>
      </c>
      <c r="L23" s="2" t="s">
        <v>198</v>
      </c>
    </row>
    <row r="24" spans="1:12" ht="12" customHeight="1">
      <c r="A24" s="12">
        <v>23</v>
      </c>
      <c r="B24" s="2" t="s">
        <v>136</v>
      </c>
      <c r="C24" s="2" t="s">
        <v>0</v>
      </c>
      <c r="D24" s="3" t="s">
        <v>137</v>
      </c>
      <c r="E24" s="3" t="s">
        <v>138</v>
      </c>
      <c r="F24" s="2" t="s">
        <v>139</v>
      </c>
      <c r="G24" s="2" t="s">
        <v>1</v>
      </c>
      <c r="H24" s="4">
        <v>42234</v>
      </c>
      <c r="I24" s="2">
        <v>12</v>
      </c>
      <c r="J24" s="4">
        <v>42600</v>
      </c>
      <c r="K24" s="2" t="s">
        <v>201</v>
      </c>
      <c r="L24" s="2" t="s">
        <v>198</v>
      </c>
    </row>
    <row r="25" spans="1:12" ht="12" customHeight="1">
      <c r="A25" s="12">
        <v>24</v>
      </c>
      <c r="B25" s="2" t="s">
        <v>106</v>
      </c>
      <c r="C25" s="2" t="s">
        <v>12</v>
      </c>
      <c r="D25" s="3" t="s">
        <v>107</v>
      </c>
      <c r="E25" s="3" t="s">
        <v>108</v>
      </c>
      <c r="F25" s="2" t="s">
        <v>109</v>
      </c>
      <c r="G25" s="2" t="s">
        <v>12</v>
      </c>
      <c r="H25" s="4">
        <v>42220</v>
      </c>
      <c r="I25" s="2">
        <v>12</v>
      </c>
      <c r="J25" s="4">
        <v>42586</v>
      </c>
      <c r="K25" s="2" t="s">
        <v>200</v>
      </c>
      <c r="L25" s="2" t="s">
        <v>198</v>
      </c>
    </row>
    <row r="26" spans="1:12" ht="12" customHeight="1">
      <c r="A26" s="12">
        <v>25</v>
      </c>
      <c r="B26" s="2" t="s">
        <v>17</v>
      </c>
      <c r="C26" s="2" t="s">
        <v>18</v>
      </c>
      <c r="D26" s="3" t="s">
        <v>19</v>
      </c>
      <c r="E26" s="3" t="s">
        <v>20</v>
      </c>
      <c r="F26" s="2" t="s">
        <v>21</v>
      </c>
      <c r="G26" s="2" t="s">
        <v>1</v>
      </c>
      <c r="H26" s="4">
        <v>42235</v>
      </c>
      <c r="I26" s="2">
        <v>12</v>
      </c>
      <c r="J26" s="4">
        <v>42601</v>
      </c>
      <c r="K26" s="2" t="s">
        <v>180</v>
      </c>
      <c r="L26" s="2" t="s">
        <v>198</v>
      </c>
    </row>
    <row r="27" spans="1:12" ht="12" customHeight="1">
      <c r="A27" s="12">
        <v>26</v>
      </c>
      <c r="B27" s="2" t="s">
        <v>132</v>
      </c>
      <c r="C27" s="2" t="s">
        <v>2</v>
      </c>
      <c r="D27" s="3" t="s">
        <v>186</v>
      </c>
      <c r="E27" s="3" t="s">
        <v>186</v>
      </c>
      <c r="F27" s="2" t="s">
        <v>3</v>
      </c>
      <c r="G27" s="2" t="s">
        <v>186</v>
      </c>
      <c r="H27" s="7" t="s">
        <v>186</v>
      </c>
      <c r="I27" s="9" t="s">
        <v>186</v>
      </c>
      <c r="J27" s="7" t="s">
        <v>186</v>
      </c>
      <c r="K27" s="14" t="s">
        <v>205</v>
      </c>
      <c r="L27" s="2" t="s">
        <v>198</v>
      </c>
    </row>
    <row r="28" spans="1:12" ht="12" customHeight="1">
      <c r="A28" s="12">
        <v>27</v>
      </c>
      <c r="B28" s="2" t="s">
        <v>132</v>
      </c>
      <c r="C28" s="2" t="s">
        <v>2</v>
      </c>
      <c r="D28" s="3" t="s">
        <v>186</v>
      </c>
      <c r="E28" s="3" t="s">
        <v>186</v>
      </c>
      <c r="F28" s="2" t="s">
        <v>74</v>
      </c>
      <c r="G28" s="2" t="s">
        <v>186</v>
      </c>
      <c r="H28" s="7" t="s">
        <v>186</v>
      </c>
      <c r="I28" s="9" t="s">
        <v>186</v>
      </c>
      <c r="J28" s="7" t="s">
        <v>186</v>
      </c>
      <c r="K28" s="2" t="s">
        <v>199</v>
      </c>
      <c r="L28" s="2" t="s">
        <v>198</v>
      </c>
    </row>
    <row r="29" spans="1:12" ht="12" customHeight="1">
      <c r="A29" s="12">
        <v>28</v>
      </c>
      <c r="B29" s="2" t="s">
        <v>132</v>
      </c>
      <c r="C29" s="2" t="s">
        <v>2</v>
      </c>
      <c r="D29" s="3" t="s">
        <v>186</v>
      </c>
      <c r="E29" s="3" t="s">
        <v>186</v>
      </c>
      <c r="F29" s="2" t="s">
        <v>133</v>
      </c>
      <c r="G29" s="2" t="s">
        <v>186</v>
      </c>
      <c r="H29" s="7" t="s">
        <v>186</v>
      </c>
      <c r="I29" s="9" t="s">
        <v>186</v>
      </c>
      <c r="J29" s="7" t="s">
        <v>186</v>
      </c>
      <c r="K29" s="2" t="s">
        <v>199</v>
      </c>
      <c r="L29" s="2" t="s">
        <v>198</v>
      </c>
    </row>
    <row r="30" spans="1:12" ht="12" customHeight="1">
      <c r="A30" s="12">
        <v>29</v>
      </c>
      <c r="B30" s="2" t="s">
        <v>38</v>
      </c>
      <c r="C30" s="2" t="s">
        <v>12</v>
      </c>
      <c r="D30" s="3" t="s">
        <v>39</v>
      </c>
      <c r="E30" s="3" t="s">
        <v>75</v>
      </c>
      <c r="F30" s="2" t="s">
        <v>76</v>
      </c>
      <c r="G30" s="2" t="s">
        <v>12</v>
      </c>
      <c r="H30" s="4">
        <v>42319</v>
      </c>
      <c r="I30" s="2">
        <v>12</v>
      </c>
      <c r="J30" s="4">
        <v>42685</v>
      </c>
      <c r="K30" s="2" t="s">
        <v>42</v>
      </c>
      <c r="L30" s="2" t="s">
        <v>198</v>
      </c>
    </row>
    <row r="31" spans="1:12" ht="12" customHeight="1">
      <c r="A31" s="12">
        <v>30</v>
      </c>
      <c r="B31" s="2" t="s">
        <v>38</v>
      </c>
      <c r="C31" s="2" t="s">
        <v>12</v>
      </c>
      <c r="D31" s="3" t="s">
        <v>39</v>
      </c>
      <c r="E31" s="3" t="s">
        <v>40</v>
      </c>
      <c r="F31" s="2" t="s">
        <v>41</v>
      </c>
      <c r="G31" s="2" t="s">
        <v>12</v>
      </c>
      <c r="H31" s="4">
        <v>42270</v>
      </c>
      <c r="I31" s="2">
        <v>12</v>
      </c>
      <c r="J31" s="4">
        <v>42636</v>
      </c>
      <c r="K31" s="2" t="s">
        <v>42</v>
      </c>
      <c r="L31" s="2" t="s">
        <v>198</v>
      </c>
    </row>
    <row r="32" spans="1:12">
      <c r="A32" s="12">
        <v>31</v>
      </c>
      <c r="B32" s="2" t="s">
        <v>51</v>
      </c>
      <c r="C32" s="2" t="s">
        <v>12</v>
      </c>
      <c r="D32" s="3" t="s">
        <v>52</v>
      </c>
      <c r="E32" s="3" t="s">
        <v>53</v>
      </c>
      <c r="F32" s="2" t="s">
        <v>54</v>
      </c>
      <c r="G32" s="2" t="s">
        <v>12</v>
      </c>
      <c r="H32" s="4">
        <v>42208</v>
      </c>
      <c r="I32" s="2">
        <v>12</v>
      </c>
      <c r="J32" s="4">
        <v>42574</v>
      </c>
      <c r="K32" s="5" t="s">
        <v>206</v>
      </c>
      <c r="L32" s="2" t="s">
        <v>198</v>
      </c>
    </row>
    <row r="33" spans="1:12">
      <c r="A33" s="12">
        <v>32</v>
      </c>
      <c r="B33" s="2" t="s">
        <v>51</v>
      </c>
      <c r="C33" s="2" t="s">
        <v>12</v>
      </c>
      <c r="D33" s="3" t="s">
        <v>52</v>
      </c>
      <c r="E33" s="3" t="s">
        <v>130</v>
      </c>
      <c r="F33" s="2" t="s">
        <v>131</v>
      </c>
      <c r="G33" s="2" t="s">
        <v>12</v>
      </c>
      <c r="H33" s="4">
        <v>42272</v>
      </c>
      <c r="I33" s="2">
        <v>12</v>
      </c>
      <c r="J33" s="4">
        <v>42638</v>
      </c>
      <c r="K33" s="5" t="s">
        <v>206</v>
      </c>
      <c r="L33" s="2" t="s">
        <v>198</v>
      </c>
    </row>
    <row r="34" spans="1:12" ht="12" customHeight="1">
      <c r="A34" s="12">
        <v>33</v>
      </c>
      <c r="B34" s="2" t="s">
        <v>9</v>
      </c>
      <c r="C34" s="2" t="s">
        <v>10</v>
      </c>
      <c r="D34" s="3" t="s">
        <v>11</v>
      </c>
      <c r="E34" s="3" t="s">
        <v>134</v>
      </c>
      <c r="F34" s="2" t="s">
        <v>135</v>
      </c>
      <c r="G34" s="2" t="s">
        <v>1</v>
      </c>
      <c r="H34" s="4">
        <v>42235</v>
      </c>
      <c r="I34" s="2">
        <v>12</v>
      </c>
      <c r="J34" s="4">
        <v>42601</v>
      </c>
      <c r="K34" s="2" t="s">
        <v>195</v>
      </c>
      <c r="L34" s="2" t="s">
        <v>198</v>
      </c>
    </row>
    <row r="35" spans="1:12" ht="12" customHeight="1">
      <c r="A35" s="12">
        <v>34</v>
      </c>
      <c r="B35" s="2" t="s">
        <v>9</v>
      </c>
      <c r="C35" s="2" t="s">
        <v>10</v>
      </c>
      <c r="D35" s="3" t="s">
        <v>11</v>
      </c>
      <c r="E35" s="3" t="s">
        <v>146</v>
      </c>
      <c r="F35" s="2" t="s">
        <v>147</v>
      </c>
      <c r="G35" s="2" t="s">
        <v>1</v>
      </c>
      <c r="H35" s="4">
        <v>42240</v>
      </c>
      <c r="I35" s="2">
        <v>12</v>
      </c>
      <c r="J35" s="4">
        <v>42606</v>
      </c>
      <c r="K35" s="2" t="s">
        <v>195</v>
      </c>
      <c r="L35" s="2" t="s">
        <v>198</v>
      </c>
    </row>
    <row r="36" spans="1:12" ht="12" customHeight="1">
      <c r="A36" s="12">
        <v>35</v>
      </c>
      <c r="B36" s="2" t="s">
        <v>5</v>
      </c>
      <c r="C36" s="2" t="s">
        <v>6</v>
      </c>
      <c r="D36" s="3" t="s">
        <v>7</v>
      </c>
      <c r="E36" s="3" t="s">
        <v>128</v>
      </c>
      <c r="F36" s="2" t="s">
        <v>129</v>
      </c>
      <c r="G36" s="2" t="s">
        <v>1</v>
      </c>
      <c r="H36" s="4">
        <v>42234</v>
      </c>
      <c r="I36" s="2">
        <v>12</v>
      </c>
      <c r="J36" s="4">
        <v>42600</v>
      </c>
      <c r="K36" s="2" t="s">
        <v>194</v>
      </c>
      <c r="L36" s="2" t="s">
        <v>198</v>
      </c>
    </row>
    <row r="37" spans="1:12" ht="12" customHeight="1">
      <c r="A37" s="12">
        <v>36</v>
      </c>
      <c r="B37" s="2" t="s">
        <v>5</v>
      </c>
      <c r="C37" s="2" t="s">
        <v>6</v>
      </c>
      <c r="D37" s="3" t="s">
        <v>7</v>
      </c>
      <c r="E37" s="3" t="s">
        <v>36</v>
      </c>
      <c r="F37" s="2" t="s">
        <v>37</v>
      </c>
      <c r="G37" s="2" t="s">
        <v>1</v>
      </c>
      <c r="H37" s="4">
        <v>42234</v>
      </c>
      <c r="I37" s="2">
        <v>12</v>
      </c>
      <c r="J37" s="4">
        <v>42600</v>
      </c>
      <c r="K37" s="2" t="s">
        <v>194</v>
      </c>
      <c r="L37" s="2" t="s">
        <v>198</v>
      </c>
    </row>
    <row r="38" spans="1:12" ht="12" customHeight="1">
      <c r="A38" s="12">
        <v>37</v>
      </c>
      <c r="B38" s="2" t="s">
        <v>28</v>
      </c>
      <c r="C38" s="2" t="s">
        <v>12</v>
      </c>
      <c r="D38" s="3" t="s">
        <v>29</v>
      </c>
      <c r="E38" s="3" t="s">
        <v>30</v>
      </c>
      <c r="F38" s="2" t="s">
        <v>31</v>
      </c>
      <c r="G38" s="2" t="s">
        <v>186</v>
      </c>
      <c r="H38" s="7" t="s">
        <v>186</v>
      </c>
      <c r="I38" s="7" t="s">
        <v>186</v>
      </c>
      <c r="J38" s="7" t="s">
        <v>186</v>
      </c>
      <c r="K38" s="2"/>
      <c r="L38" s="2" t="s">
        <v>198</v>
      </c>
    </row>
    <row r="39" spans="1:12" ht="12" customHeight="1">
      <c r="A39" s="12">
        <v>38</v>
      </c>
      <c r="B39" s="2" t="s">
        <v>28</v>
      </c>
      <c r="C39" s="2" t="s">
        <v>12</v>
      </c>
      <c r="D39" s="3" t="s">
        <v>29</v>
      </c>
      <c r="E39" s="3" t="s">
        <v>118</v>
      </c>
      <c r="F39" s="2" t="s">
        <v>119</v>
      </c>
      <c r="G39" s="2" t="s">
        <v>186</v>
      </c>
      <c r="H39" s="7" t="s">
        <v>186</v>
      </c>
      <c r="I39" s="7" t="s">
        <v>186</v>
      </c>
      <c r="J39" s="7" t="s">
        <v>186</v>
      </c>
      <c r="K39" s="2"/>
      <c r="L39" s="2" t="s">
        <v>198</v>
      </c>
    </row>
    <row r="40" spans="1:12" ht="12" customHeight="1">
      <c r="A40" s="12">
        <v>39</v>
      </c>
      <c r="B40" s="2" t="s">
        <v>8</v>
      </c>
      <c r="C40" s="2" t="s">
        <v>12</v>
      </c>
      <c r="D40" s="3" t="s">
        <v>102</v>
      </c>
      <c r="E40" s="3" t="s">
        <v>148</v>
      </c>
      <c r="F40" s="2" t="s">
        <v>149</v>
      </c>
      <c r="G40" s="2" t="s">
        <v>12</v>
      </c>
      <c r="H40" s="4">
        <v>42264</v>
      </c>
      <c r="I40" s="2">
        <v>12</v>
      </c>
      <c r="J40" s="4">
        <v>42630</v>
      </c>
      <c r="K40" s="2" t="s">
        <v>105</v>
      </c>
      <c r="L40" s="2" t="s">
        <v>198</v>
      </c>
    </row>
    <row r="41" spans="1:12" ht="12" customHeight="1">
      <c r="A41" s="12">
        <v>40</v>
      </c>
      <c r="B41" s="2" t="s">
        <v>8</v>
      </c>
      <c r="C41" s="2" t="s">
        <v>12</v>
      </c>
      <c r="D41" s="3" t="s">
        <v>150</v>
      </c>
      <c r="E41" s="3" t="s">
        <v>151</v>
      </c>
      <c r="F41" s="2" t="s">
        <v>152</v>
      </c>
      <c r="G41" s="2" t="s">
        <v>12</v>
      </c>
      <c r="H41" s="4">
        <v>42013</v>
      </c>
      <c r="I41" s="2">
        <v>12</v>
      </c>
      <c r="J41" s="4">
        <v>42378</v>
      </c>
      <c r="K41" s="2" t="s">
        <v>153</v>
      </c>
      <c r="L41" s="2" t="s">
        <v>198</v>
      </c>
    </row>
    <row r="42" spans="1:12" ht="12" customHeight="1">
      <c r="A42" s="12">
        <v>41</v>
      </c>
      <c r="B42" s="2" t="s">
        <v>8</v>
      </c>
      <c r="C42" s="2" t="s">
        <v>12</v>
      </c>
      <c r="D42" s="3" t="s">
        <v>120</v>
      </c>
      <c r="E42" s="3" t="s">
        <v>154</v>
      </c>
      <c r="F42" s="2" t="s">
        <v>155</v>
      </c>
      <c r="G42" s="2" t="s">
        <v>12</v>
      </c>
      <c r="H42" s="4">
        <v>42041</v>
      </c>
      <c r="I42" s="2">
        <v>12</v>
      </c>
      <c r="J42" s="4">
        <v>42406</v>
      </c>
      <c r="K42" s="2" t="s">
        <v>123</v>
      </c>
      <c r="L42" s="2" t="s">
        <v>198</v>
      </c>
    </row>
    <row r="43" spans="1:12" ht="12" customHeight="1">
      <c r="A43" s="12">
        <v>42</v>
      </c>
      <c r="B43" s="2" t="s">
        <v>8</v>
      </c>
      <c r="C43" s="2" t="s">
        <v>12</v>
      </c>
      <c r="D43" s="3" t="s">
        <v>115</v>
      </c>
      <c r="E43" s="3" t="s">
        <v>156</v>
      </c>
      <c r="F43" s="2" t="s">
        <v>157</v>
      </c>
      <c r="G43" s="2" t="s">
        <v>12</v>
      </c>
      <c r="H43" s="4">
        <v>42040</v>
      </c>
      <c r="I43" s="2">
        <v>12</v>
      </c>
      <c r="J43" s="4">
        <v>42405</v>
      </c>
      <c r="K43" s="2" t="s">
        <v>50</v>
      </c>
      <c r="L43" s="2" t="s">
        <v>198</v>
      </c>
    </row>
    <row r="44" spans="1:12" ht="12" customHeight="1">
      <c r="A44" s="12">
        <v>43</v>
      </c>
      <c r="B44" s="2" t="s">
        <v>8</v>
      </c>
      <c r="C44" s="2" t="s">
        <v>12</v>
      </c>
      <c r="D44" s="3" t="s">
        <v>161</v>
      </c>
      <c r="E44" s="3" t="s">
        <v>162</v>
      </c>
      <c r="F44" s="2" t="s">
        <v>163</v>
      </c>
      <c r="G44" s="2" t="s">
        <v>12</v>
      </c>
      <c r="H44" s="4">
        <v>42326</v>
      </c>
      <c r="I44" s="2">
        <v>12</v>
      </c>
      <c r="J44" s="4">
        <v>42692</v>
      </c>
      <c r="K44" s="2" t="s">
        <v>164</v>
      </c>
      <c r="L44" s="2" t="s">
        <v>198</v>
      </c>
    </row>
    <row r="45" spans="1:12" ht="12" customHeight="1">
      <c r="A45" s="12">
        <v>44</v>
      </c>
      <c r="B45" s="2" t="s">
        <v>8</v>
      </c>
      <c r="C45" s="2" t="s">
        <v>12</v>
      </c>
      <c r="D45" s="3" t="s">
        <v>47</v>
      </c>
      <c r="E45" s="3" t="s">
        <v>158</v>
      </c>
      <c r="F45" s="2" t="s">
        <v>159</v>
      </c>
      <c r="G45" s="2" t="s">
        <v>12</v>
      </c>
      <c r="H45" s="4">
        <v>42045</v>
      </c>
      <c r="I45" s="2">
        <v>12</v>
      </c>
      <c r="J45" s="4">
        <v>42410</v>
      </c>
      <c r="K45" s="2" t="s">
        <v>160</v>
      </c>
      <c r="L45" s="2" t="s">
        <v>198</v>
      </c>
    </row>
    <row r="46" spans="1:12" ht="12" customHeight="1">
      <c r="A46" s="12">
        <v>45</v>
      </c>
      <c r="B46" s="2" t="s">
        <v>38</v>
      </c>
      <c r="C46" s="2" t="s">
        <v>12</v>
      </c>
      <c r="D46" s="3" t="s">
        <v>39</v>
      </c>
      <c r="E46" s="3" t="s">
        <v>202</v>
      </c>
      <c r="F46" s="2" t="s">
        <v>165</v>
      </c>
      <c r="G46" s="2" t="s">
        <v>12</v>
      </c>
      <c r="H46" s="4">
        <v>42262</v>
      </c>
      <c r="I46" s="2">
        <v>12</v>
      </c>
      <c r="J46" s="4">
        <v>42628</v>
      </c>
      <c r="K46" s="2" t="s">
        <v>42</v>
      </c>
      <c r="L46" s="2" t="s">
        <v>198</v>
      </c>
    </row>
    <row r="47" spans="1:12">
      <c r="A47" s="12">
        <v>46</v>
      </c>
      <c r="B47" s="2" t="s">
        <v>51</v>
      </c>
      <c r="C47" s="2" t="s">
        <v>12</v>
      </c>
      <c r="D47" s="3" t="s">
        <v>52</v>
      </c>
      <c r="E47" s="3" t="s">
        <v>166</v>
      </c>
      <c r="F47" s="2" t="s">
        <v>167</v>
      </c>
      <c r="G47" s="2" t="s">
        <v>12</v>
      </c>
      <c r="H47" s="4">
        <v>42249</v>
      </c>
      <c r="I47" s="2">
        <v>12</v>
      </c>
      <c r="J47" s="4">
        <v>42615</v>
      </c>
      <c r="K47" s="5" t="s">
        <v>206</v>
      </c>
      <c r="L47" s="2" t="s">
        <v>198</v>
      </c>
    </row>
    <row r="48" spans="1:12">
      <c r="A48" s="12">
        <v>47</v>
      </c>
      <c r="B48" s="2" t="s">
        <v>51</v>
      </c>
      <c r="C48" s="2" t="s">
        <v>12</v>
      </c>
      <c r="D48" s="3" t="s">
        <v>52</v>
      </c>
      <c r="E48" s="3" t="s">
        <v>168</v>
      </c>
      <c r="F48" s="2" t="s">
        <v>169</v>
      </c>
      <c r="G48" s="2" t="s">
        <v>12</v>
      </c>
      <c r="H48" s="4">
        <v>42047</v>
      </c>
      <c r="I48" s="2">
        <v>12</v>
      </c>
      <c r="J48" s="4">
        <v>42412</v>
      </c>
      <c r="K48" s="5" t="s">
        <v>206</v>
      </c>
      <c r="L48" s="2" t="s">
        <v>198</v>
      </c>
    </row>
    <row r="49" spans="1:12" ht="12" customHeight="1">
      <c r="A49" s="12">
        <v>48</v>
      </c>
      <c r="B49" s="2" t="s">
        <v>28</v>
      </c>
      <c r="C49" s="2" t="s">
        <v>12</v>
      </c>
      <c r="D49" s="3" t="s">
        <v>29</v>
      </c>
      <c r="E49" s="3" t="s">
        <v>170</v>
      </c>
      <c r="F49" s="2" t="s">
        <v>171</v>
      </c>
      <c r="G49" s="2" t="s">
        <v>186</v>
      </c>
      <c r="H49" s="7" t="s">
        <v>186</v>
      </c>
      <c r="I49" s="7" t="s">
        <v>186</v>
      </c>
      <c r="J49" s="7" t="s">
        <v>186</v>
      </c>
      <c r="K49" s="2"/>
      <c r="L49" s="2" t="s">
        <v>198</v>
      </c>
    </row>
    <row r="50" spans="1:12" ht="12" customHeight="1">
      <c r="A50" s="12">
        <v>49</v>
      </c>
      <c r="B50" s="2" t="s">
        <v>9</v>
      </c>
      <c r="C50" s="2" t="s">
        <v>10</v>
      </c>
      <c r="D50" s="3" t="s">
        <v>11</v>
      </c>
      <c r="E50" s="3" t="s">
        <v>172</v>
      </c>
      <c r="F50" s="2" t="s">
        <v>173</v>
      </c>
      <c r="G50" s="2" t="s">
        <v>1</v>
      </c>
      <c r="H50" s="4">
        <v>42228</v>
      </c>
      <c r="I50" s="2">
        <v>12</v>
      </c>
      <c r="J50" s="4">
        <v>42594</v>
      </c>
      <c r="K50" s="2" t="s">
        <v>195</v>
      </c>
      <c r="L50" s="2" t="s">
        <v>198</v>
      </c>
    </row>
    <row r="51" spans="1:12" ht="12" customHeight="1">
      <c r="A51" s="12">
        <v>50</v>
      </c>
      <c r="B51" s="2" t="s">
        <v>9</v>
      </c>
      <c r="C51" s="2" t="s">
        <v>10</v>
      </c>
      <c r="D51" s="3" t="s">
        <v>11</v>
      </c>
      <c r="E51" s="3" t="s">
        <v>174</v>
      </c>
      <c r="F51" s="2" t="s">
        <v>175</v>
      </c>
      <c r="G51" s="2" t="s">
        <v>1</v>
      </c>
      <c r="H51" s="4">
        <v>42228</v>
      </c>
      <c r="I51" s="2">
        <v>12</v>
      </c>
      <c r="J51" s="4">
        <v>42594</v>
      </c>
      <c r="K51" s="2" t="s">
        <v>195</v>
      </c>
      <c r="L51" s="2" t="s">
        <v>198</v>
      </c>
    </row>
    <row r="52" spans="1:12" ht="12" customHeight="1">
      <c r="A52" s="12">
        <v>51</v>
      </c>
      <c r="B52" s="2" t="s">
        <v>176</v>
      </c>
      <c r="C52" s="2" t="s">
        <v>0</v>
      </c>
      <c r="D52" s="3" t="s">
        <v>177</v>
      </c>
      <c r="E52" s="3" t="s">
        <v>178</v>
      </c>
      <c r="F52" s="2" t="s">
        <v>179</v>
      </c>
      <c r="G52" s="2" t="s">
        <v>1</v>
      </c>
      <c r="H52" s="4">
        <v>42282</v>
      </c>
      <c r="I52" s="2">
        <v>12</v>
      </c>
      <c r="J52" s="4">
        <v>42648</v>
      </c>
      <c r="K52" s="2" t="s">
        <v>197</v>
      </c>
      <c r="L52" s="2" t="s">
        <v>198</v>
      </c>
    </row>
  </sheetData>
  <autoFilter ref="B1:L52" xr:uid="{00000000-0009-0000-0000-000001000000}"/>
  <phoneticPr fontId="8" type="noConversion"/>
  <pageMargins left="0" right="0" top="0.75" bottom="0.75" header="0.3" footer="0.3"/>
  <pageSetup orientation="landscape" r:id="rId1"/>
  <ignoredErrors>
    <ignoredError sqref="C7:E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Automotive EMC</vt:lpstr>
      <vt:lpstr>SAR list</vt:lpstr>
      <vt:lpstr>'SAR list'!_FilterDatabase</vt:lpstr>
      <vt:lpstr>'Automotive EMC'!Print_Area</vt:lpstr>
    </vt:vector>
  </TitlesOfParts>
  <Company>Underwriters Laboratories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DoYoung</dc:creator>
  <cp:lastModifiedBy>Kwon, Myeongjun</cp:lastModifiedBy>
  <cp:lastPrinted>2020-09-15T02:47:58Z</cp:lastPrinted>
  <dcterms:created xsi:type="dcterms:W3CDTF">2015-12-09T22:18:14Z</dcterms:created>
  <dcterms:modified xsi:type="dcterms:W3CDTF">2025-03-18T23:45:22Z</dcterms:modified>
</cp:coreProperties>
</file>