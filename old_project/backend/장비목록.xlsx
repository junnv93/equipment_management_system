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mjkd\Downloads\"/>
    </mc:Choice>
  </mc:AlternateContent>
  <xr:revisionPtr revIDLastSave="0" documentId="13_ncr:1_{E5C6094E-4D5C-429A-B6A2-ABAB4770254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험설비 관리대장" sheetId="1" r:id="rId1"/>
    <sheet name="사용전 교정 장비(교정X)" sheetId="2" r:id="rId2"/>
    <sheet name="비관리 장비(교정X)" sheetId="3" r:id="rId3"/>
    <sheet name="이관 장비" sheetId="4" r:id="rId4"/>
    <sheet name="불용장비" sheetId="5" r:id="rId5"/>
    <sheet name="차기 교정확인사항" sheetId="6" r:id="rId6"/>
    <sheet name="Label" sheetId="7" r:id="rId7"/>
  </sheets>
  <definedNames>
    <definedName name="_xlnm._FilterDatabase" localSheetId="0" hidden="1">'시험설비 관리대장'!$A$2:$Q$383</definedName>
    <definedName name="_xlnm._FilterDatabase" localSheetId="3" hidden="1">'이관 장비'!$A$1:$L$21</definedName>
    <definedName name="_xlnm.Print_Area" localSheetId="6">Label!$A$1:$I$56</definedName>
    <definedName name="_xlnm.Print_Area" localSheetId="0">'시험설비 관리대장'!$A$1:$Q$381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7" l="1"/>
  <c r="H50" i="7"/>
  <c r="E50" i="7"/>
  <c r="B50" i="7"/>
  <c r="H43" i="7"/>
  <c r="E43" i="7"/>
  <c r="B43" i="7"/>
  <c r="H36" i="7"/>
  <c r="E36" i="7"/>
  <c r="B36" i="7"/>
  <c r="H29" i="7"/>
  <c r="E29" i="7"/>
  <c r="B29" i="7"/>
  <c r="H22" i="7"/>
  <c r="E22" i="7"/>
  <c r="B22" i="7"/>
  <c r="H15" i="7"/>
  <c r="E15" i="7"/>
  <c r="B15" i="7"/>
  <c r="H8" i="7"/>
  <c r="E8" i="7"/>
  <c r="B8" i="7"/>
  <c r="H1" i="7"/>
  <c r="E1" i="7"/>
  <c r="B1" i="7"/>
  <c r="G25" i="5"/>
  <c r="G24" i="5"/>
  <c r="G22" i="5"/>
  <c r="G19" i="5"/>
  <c r="G16" i="5"/>
  <c r="F22" i="4"/>
  <c r="F37" i="3"/>
  <c r="F36" i="3"/>
  <c r="F35" i="3"/>
  <c r="F34" i="3"/>
  <c r="F33" i="3"/>
  <c r="F32" i="3"/>
  <c r="F31" i="3"/>
  <c r="F30" i="3"/>
  <c r="F29" i="3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<sst xmlns="http://schemas.openxmlformats.org/spreadsheetml/2006/main" count="6711" uniqueCount="1441">
  <si>
    <t xml:space="preserve">       (MEMCRF팀) 시험설비 관리대장</t>
  </si>
  <si>
    <t>관리번호</t>
  </si>
  <si>
    <t>자산번호
(번호 or N/A)</t>
  </si>
  <si>
    <t>장비명</t>
  </si>
  <si>
    <t>관리방법
(외부교정/자체점검/비대상)</t>
  </si>
  <si>
    <t>최종교정일</t>
  </si>
  <si>
    <t>교정기관</t>
  </si>
  <si>
    <t>교정주기 (개월)</t>
  </si>
  <si>
    <t>차기교정일</t>
  </si>
  <si>
    <t>제조사</t>
  </si>
  <si>
    <t>구입년도</t>
  </si>
  <si>
    <t>모델명</t>
  </si>
  <si>
    <t>일련번호</t>
  </si>
  <si>
    <t>장비사양</t>
  </si>
  <si>
    <t>위치</t>
  </si>
  <si>
    <t>중간점검 대상
(O/X)</t>
  </si>
  <si>
    <t>가용 여부
(사용/고장/여분)</t>
  </si>
  <si>
    <t>SUW-E0001</t>
  </si>
  <si>
    <t>125-540</t>
  </si>
  <si>
    <t>Receiver</t>
  </si>
  <si>
    <t>외부교정</t>
  </si>
  <si>
    <t>2024-07-23</t>
  </si>
  <si>
    <t>HCT</t>
  </si>
  <si>
    <t>R&amp;S</t>
  </si>
  <si>
    <t>ESU40</t>
  </si>
  <si>
    <t>20Hz - 40GHz</t>
  </si>
  <si>
    <t>RE1</t>
  </si>
  <si>
    <t>O</t>
  </si>
  <si>
    <t>사용</t>
  </si>
  <si>
    <t>SUW-E0002</t>
  </si>
  <si>
    <t>N/A</t>
  </si>
  <si>
    <t>Switch Driver</t>
  </si>
  <si>
    <t>비대상</t>
  </si>
  <si>
    <t>HP</t>
  </si>
  <si>
    <t>11713A</t>
  </si>
  <si>
    <t>2508A078109</t>
  </si>
  <si>
    <t>-</t>
  </si>
  <si>
    <t>X</t>
  </si>
  <si>
    <t>SUW-E0003</t>
  </si>
  <si>
    <t>125-583</t>
  </si>
  <si>
    <t>Controller</t>
  </si>
  <si>
    <t>INNCO</t>
  </si>
  <si>
    <t>CO3000-4P</t>
  </si>
  <si>
    <t>CO3000/797/33770614/L</t>
  </si>
  <si>
    <t>SUW-E0004</t>
  </si>
  <si>
    <t>125-504</t>
  </si>
  <si>
    <t>Bilog Antenna</t>
  </si>
  <si>
    <t>2024-07-30</t>
  </si>
  <si>
    <t>SCHWARZBECK</t>
  </si>
  <si>
    <t>VULB 9163</t>
  </si>
  <si>
    <t>750</t>
  </si>
  <si>
    <t xml:space="preserve">30 ~ 1000MHZ </t>
  </si>
  <si>
    <t>SUW-E0005</t>
  </si>
  <si>
    <t>125-502</t>
  </si>
  <si>
    <t>Horn Antenna</t>
  </si>
  <si>
    <t>OHTAMA</t>
  </si>
  <si>
    <t>ETS LINDGREN</t>
  </si>
  <si>
    <t>00167211</t>
  </si>
  <si>
    <t>750MHz to 18GHz</t>
  </si>
  <si>
    <t>SUW-E0006</t>
  </si>
  <si>
    <t>125-505</t>
  </si>
  <si>
    <t>3116C</t>
  </si>
  <si>
    <t>00166155</t>
  </si>
  <si>
    <t>18GHz to 40GHz, 35dB</t>
  </si>
  <si>
    <t>SUW-E0007</t>
  </si>
  <si>
    <t>125-556</t>
  </si>
  <si>
    <t>Pre-Amplifier</t>
  </si>
  <si>
    <t>SONOMA</t>
  </si>
  <si>
    <t>310N</t>
  </si>
  <si>
    <t>341282</t>
  </si>
  <si>
    <t>9kHz to 1GHz, 32dB</t>
  </si>
  <si>
    <t>SUW-E0008</t>
  </si>
  <si>
    <t>Turntable</t>
  </si>
  <si>
    <t>DS2000-1t</t>
  </si>
  <si>
    <t>SUW-E0009</t>
  </si>
  <si>
    <t>EUT Table</t>
  </si>
  <si>
    <t>Styrofoam Table</t>
  </si>
  <si>
    <t>SUW-E0010</t>
  </si>
  <si>
    <t>Antenna Master</t>
  </si>
  <si>
    <t>MA4000-XPET</t>
  </si>
  <si>
    <t>SUW-E0011</t>
  </si>
  <si>
    <t>125-585</t>
  </si>
  <si>
    <t>MA4000-EP</t>
  </si>
  <si>
    <t>SUW-E0013</t>
  </si>
  <si>
    <t>Filter</t>
  </si>
  <si>
    <t>2024-07-22</t>
  </si>
  <si>
    <t>MICRO-TRONICS</t>
  </si>
  <si>
    <t>HPM17543</t>
  </si>
  <si>
    <t>015</t>
  </si>
  <si>
    <t>HPF 3GHz</t>
  </si>
  <si>
    <t>RE2</t>
  </si>
  <si>
    <t>SUW-E0014</t>
  </si>
  <si>
    <t>HPS17542</t>
  </si>
  <si>
    <t>016</t>
  </si>
  <si>
    <t>HPF 6GHz</t>
  </si>
  <si>
    <t>SUW-E0015</t>
  </si>
  <si>
    <t>LPS17541</t>
  </si>
  <si>
    <t>LPF 5GHz</t>
  </si>
  <si>
    <t>SUW-E0016</t>
  </si>
  <si>
    <t>Tri-pod</t>
  </si>
  <si>
    <t>HFU-Z</t>
  </si>
  <si>
    <t>Loop Antenna Tripod</t>
  </si>
  <si>
    <t>SUW-E0018</t>
  </si>
  <si>
    <t>125-515</t>
  </si>
  <si>
    <t>Bluetooth Tester</t>
  </si>
  <si>
    <t>2024-07-24</t>
  </si>
  <si>
    <t>TESCOM</t>
  </si>
  <si>
    <t>TC-3000C</t>
  </si>
  <si>
    <t>3000C000546</t>
  </si>
  <si>
    <t>BT,BLE</t>
  </si>
  <si>
    <t>RF1</t>
  </si>
  <si>
    <t>SUW-E0019</t>
  </si>
  <si>
    <t>125-546</t>
  </si>
  <si>
    <t>Loop Antenna</t>
  </si>
  <si>
    <t>HFH2-Z2</t>
  </si>
  <si>
    <t>100418</t>
  </si>
  <si>
    <t>9kHz to 30MHz</t>
  </si>
  <si>
    <t>SUW-E0021</t>
  </si>
  <si>
    <t>125-503</t>
  </si>
  <si>
    <t xml:space="preserve">30 ~ 3000MHZ </t>
  </si>
  <si>
    <t>SUW-E0022</t>
  </si>
  <si>
    <t>125-501</t>
  </si>
  <si>
    <t>3115-PA</t>
  </si>
  <si>
    <t>00167475</t>
  </si>
  <si>
    <t>SUW-E0023</t>
  </si>
  <si>
    <t>125-500</t>
  </si>
  <si>
    <t>2024-07-25</t>
  </si>
  <si>
    <t>3116C-PA</t>
  </si>
  <si>
    <t>00168841</t>
  </si>
  <si>
    <t>SUW-E0024</t>
  </si>
  <si>
    <t>Temp and Humidity recorder</t>
  </si>
  <si>
    <t>LUTRON</t>
  </si>
  <si>
    <t>MHB-382SD</t>
  </si>
  <si>
    <t>AH.91471</t>
  </si>
  <si>
    <t>10~30℃, 90%</t>
  </si>
  <si>
    <t>SUW-E0025</t>
  </si>
  <si>
    <t>AH.91469</t>
  </si>
  <si>
    <t>SUW-E0026</t>
  </si>
  <si>
    <t>125-496</t>
  </si>
  <si>
    <t>3m Chamber</t>
  </si>
  <si>
    <t>EME</t>
  </si>
  <si>
    <t>3m_SAC</t>
  </si>
  <si>
    <t>30MHz to 40GHz</t>
  </si>
  <si>
    <t>SUW-E0027</t>
  </si>
  <si>
    <t>125-565</t>
  </si>
  <si>
    <t>Comb Generator</t>
  </si>
  <si>
    <t>자체점검</t>
  </si>
  <si>
    <t>CGC-255</t>
  </si>
  <si>
    <t>50kHz to 400MHz</t>
  </si>
  <si>
    <t>AC</t>
  </si>
  <si>
    <t>SUW-E0028</t>
  </si>
  <si>
    <t>CGO-5100B</t>
  </si>
  <si>
    <t>331022</t>
  </si>
  <si>
    <t>1GHz to 18GHz</t>
  </si>
  <si>
    <t>RE3</t>
  </si>
  <si>
    <t>SUW-E0029</t>
  </si>
  <si>
    <t>125-499</t>
  </si>
  <si>
    <t>Dipole Antenna</t>
  </si>
  <si>
    <t>3121D DB-1</t>
  </si>
  <si>
    <t>00169611</t>
  </si>
  <si>
    <t>30MHz to 60MHz</t>
  </si>
  <si>
    <t>SUW-E0030</t>
  </si>
  <si>
    <t>3121D DB-2</t>
  </si>
  <si>
    <t>00168882</t>
  </si>
  <si>
    <t>60MHz to 140MHz</t>
  </si>
  <si>
    <t>SUW-E0031</t>
  </si>
  <si>
    <t>3121D DB-3</t>
  </si>
  <si>
    <t>00167005</t>
  </si>
  <si>
    <t>140MHz to 400MHz</t>
  </si>
  <si>
    <t>`</t>
  </si>
  <si>
    <t>SUW-E0032</t>
  </si>
  <si>
    <t>3121D DB-4</t>
  </si>
  <si>
    <t>00164753</t>
  </si>
  <si>
    <t>400MHz to 1GHz</t>
  </si>
  <si>
    <t>SUW-E0033</t>
  </si>
  <si>
    <t>125-541</t>
  </si>
  <si>
    <t>RECEIVER, EMI</t>
  </si>
  <si>
    <t>ESR 3</t>
  </si>
  <si>
    <t>101832</t>
  </si>
  <si>
    <t>9kHz to 7GHz</t>
  </si>
  <si>
    <t>SUW-E0034</t>
  </si>
  <si>
    <t>125-542</t>
  </si>
  <si>
    <t>PULSE LIMITER</t>
  </si>
  <si>
    <t>ESH3-Z2</t>
  </si>
  <si>
    <t>101984</t>
  </si>
  <si>
    <t>DC to 30MHz</t>
  </si>
  <si>
    <t>SUW-E0035</t>
  </si>
  <si>
    <t>125-545</t>
  </si>
  <si>
    <t>LISN</t>
  </si>
  <si>
    <t>ENV216</t>
  </si>
  <si>
    <t>101836</t>
  </si>
  <si>
    <t>16A, 9kHz to 30MHz</t>
  </si>
  <si>
    <t>SUW-E0036</t>
  </si>
  <si>
    <t>101837</t>
  </si>
  <si>
    <t>SUW-E0037</t>
  </si>
  <si>
    <t>Wood</t>
  </si>
  <si>
    <t>SUW-E0038</t>
  </si>
  <si>
    <t>125-506</t>
  </si>
  <si>
    <t>CHAMBER</t>
  </si>
  <si>
    <t>Shield Room</t>
  </si>
  <si>
    <t>SUW-E0039</t>
  </si>
  <si>
    <t>125-566</t>
  </si>
  <si>
    <t>COM-POWER</t>
  </si>
  <si>
    <t>CGO-515</t>
  </si>
  <si>
    <t>291156</t>
  </si>
  <si>
    <t>1MHz to 1.5GHz</t>
  </si>
  <si>
    <t>SUW-E0041</t>
  </si>
  <si>
    <t>125-536</t>
  </si>
  <si>
    <t>Power Sensor</t>
  </si>
  <si>
    <t>AGILENT</t>
  </si>
  <si>
    <t>U2000A</t>
  </si>
  <si>
    <t>MY54270007</t>
  </si>
  <si>
    <t>18GHz, Avg, Peak</t>
  </si>
  <si>
    <t>SUW-E0042</t>
  </si>
  <si>
    <t>Attenuator</t>
  </si>
  <si>
    <t>PASTERNACK</t>
  </si>
  <si>
    <t>PE7087-10</t>
  </si>
  <si>
    <t>A001</t>
  </si>
  <si>
    <t>26GHz, 2Watt6GHz, Avg</t>
  </si>
  <si>
    <t>SUW-E0043</t>
  </si>
  <si>
    <t>125-524</t>
  </si>
  <si>
    <t>Spectrum Analyzer</t>
  </si>
  <si>
    <t>N9030A</t>
  </si>
  <si>
    <t>MY54170614</t>
  </si>
  <si>
    <t>3Hz to 44GHz</t>
  </si>
  <si>
    <t>SUW-E0045</t>
  </si>
  <si>
    <t>Directional Coupler</t>
  </si>
  <si>
    <t>KRYTAR</t>
  </si>
  <si>
    <t>500MHz to 18GHz</t>
  </si>
  <si>
    <t>SUW-E0046</t>
  </si>
  <si>
    <t>A002</t>
  </si>
  <si>
    <t>26GHz, 2Watt</t>
  </si>
  <si>
    <t>SUW-E0047</t>
  </si>
  <si>
    <t>Termination</t>
  </si>
  <si>
    <t>WEINSCHEL</t>
  </si>
  <si>
    <t>M1406A</t>
  </si>
  <si>
    <t>T09</t>
  </si>
  <si>
    <t>18GHz</t>
  </si>
  <si>
    <t>SUW-E0048</t>
  </si>
  <si>
    <t>125-592</t>
  </si>
  <si>
    <t>Power Supply</t>
  </si>
  <si>
    <t>E3640A</t>
  </si>
  <si>
    <t>MY54226395</t>
  </si>
  <si>
    <t>20V, 30W</t>
  </si>
  <si>
    <t>SUW-E0049</t>
  </si>
  <si>
    <t>125-538</t>
  </si>
  <si>
    <t>Temperature &amp; Humidity Chamber</t>
  </si>
  <si>
    <t>ESPEC</t>
  </si>
  <si>
    <t>SH-642</t>
  </si>
  <si>
    <t>-40℃~ 150℃</t>
  </si>
  <si>
    <t>SUW-E0050</t>
  </si>
  <si>
    <t>125-539</t>
  </si>
  <si>
    <t>PL-1J</t>
  </si>
  <si>
    <t>RF2</t>
  </si>
  <si>
    <t>SUW-E0051</t>
  </si>
  <si>
    <t>125-497</t>
  </si>
  <si>
    <t>Signal Generator</t>
  </si>
  <si>
    <t>N5182B</t>
  </si>
  <si>
    <t>MY53051241</t>
  </si>
  <si>
    <t>100KHz ~ 6GHz</t>
  </si>
  <si>
    <t>SUW-E0052</t>
  </si>
  <si>
    <t>125-525</t>
  </si>
  <si>
    <t>N9010A</t>
  </si>
  <si>
    <t>MY54200580</t>
  </si>
  <si>
    <t>10MHz to 7GHz</t>
  </si>
  <si>
    <t>SUW-E0057</t>
  </si>
  <si>
    <t>A004</t>
  </si>
  <si>
    <t>SUW-E0058</t>
  </si>
  <si>
    <t>A003</t>
  </si>
  <si>
    <t>SUW-E0059</t>
  </si>
  <si>
    <t>A005</t>
  </si>
  <si>
    <t>SUW-E0060</t>
  </si>
  <si>
    <t>A009</t>
  </si>
  <si>
    <t>SUW-E0061</t>
  </si>
  <si>
    <t>125-593</t>
  </si>
  <si>
    <t>Step Attenuator</t>
  </si>
  <si>
    <t>8494B</t>
  </si>
  <si>
    <t>MY42155315</t>
  </si>
  <si>
    <t>DC to 18GHz</t>
  </si>
  <si>
    <t>SUW-E0062</t>
  </si>
  <si>
    <t>MY42155316</t>
  </si>
  <si>
    <t>SUW-E0063</t>
  </si>
  <si>
    <t>MY42155321</t>
  </si>
  <si>
    <t>SUW-E0064</t>
  </si>
  <si>
    <t>125-594</t>
  </si>
  <si>
    <t>8496B</t>
  </si>
  <si>
    <t>MY42149775</t>
  </si>
  <si>
    <t>SUW-E0065</t>
  </si>
  <si>
    <t>MY42149778</t>
  </si>
  <si>
    <t>SUW-E0066</t>
  </si>
  <si>
    <t>MY42149783</t>
  </si>
  <si>
    <t>SUW-E0067</t>
  </si>
  <si>
    <t>Isolator</t>
  </si>
  <si>
    <t>MCLI</t>
  </si>
  <si>
    <t>IS-16</t>
  </si>
  <si>
    <t>SUW-E0068</t>
  </si>
  <si>
    <t>SUW-E0071</t>
  </si>
  <si>
    <t>Access Point</t>
  </si>
  <si>
    <t>CISCO</t>
  </si>
  <si>
    <t>AIR-CAP3702E-A-K9</t>
  </si>
  <si>
    <t>FTX182276QX</t>
  </si>
  <si>
    <t>IEEE 802.11b/g/a/n/ac</t>
  </si>
  <si>
    <t>SUW-E0072</t>
  </si>
  <si>
    <t>125-598</t>
  </si>
  <si>
    <t>HORN ANTENNA</t>
  </si>
  <si>
    <t>00168717</t>
  </si>
  <si>
    <t>SUW-E0073</t>
  </si>
  <si>
    <t>125-599</t>
  </si>
  <si>
    <t>00168724</t>
  </si>
  <si>
    <t>SUW-E0074</t>
  </si>
  <si>
    <t>SUW-E0075</t>
  </si>
  <si>
    <t>SUW-E0076</t>
  </si>
  <si>
    <t>125-563</t>
  </si>
  <si>
    <t>AEROFLEX/WEINSCHEL</t>
  </si>
  <si>
    <t>AF119A-99-34</t>
  </si>
  <si>
    <t>up to 18GHz</t>
  </si>
  <si>
    <t>SUW-E0077</t>
  </si>
  <si>
    <t>A007</t>
  </si>
  <si>
    <t>SUW-E0078</t>
  </si>
  <si>
    <t>CE9519</t>
  </si>
  <si>
    <t>30dB, 18GHz</t>
  </si>
  <si>
    <t>SUW-E0079</t>
  </si>
  <si>
    <t>CE9520</t>
  </si>
  <si>
    <t>SUW-E0080</t>
  </si>
  <si>
    <t>CE9521</t>
  </si>
  <si>
    <t>SUW-E0081</t>
  </si>
  <si>
    <t>CE9536</t>
  </si>
  <si>
    <t>SUW-E0082</t>
  </si>
  <si>
    <t>A006</t>
  </si>
  <si>
    <t>SUW-E0083</t>
  </si>
  <si>
    <t>A010</t>
  </si>
  <si>
    <t>SUW-E0084</t>
  </si>
  <si>
    <t>A008</t>
  </si>
  <si>
    <t>SUW-E0085</t>
  </si>
  <si>
    <t>TERMINATION</t>
  </si>
  <si>
    <t>T10</t>
  </si>
  <si>
    <t>SUW-E0086</t>
  </si>
  <si>
    <t>T03</t>
  </si>
  <si>
    <t>SUW-E0087</t>
  </si>
  <si>
    <t>T04</t>
  </si>
  <si>
    <t>SUW-E0088</t>
  </si>
  <si>
    <t>T05</t>
  </si>
  <si>
    <t>SUW-E0090</t>
  </si>
  <si>
    <t>T07</t>
  </si>
  <si>
    <t>SUW-E0091</t>
  </si>
  <si>
    <t>T08</t>
  </si>
  <si>
    <t>SUW-E0094</t>
  </si>
  <si>
    <t>CE9518</t>
  </si>
  <si>
    <t>SUW-E0095</t>
  </si>
  <si>
    <t>SUW-E0098</t>
  </si>
  <si>
    <t>SUW-E0099</t>
  </si>
  <si>
    <t>MY54236144</t>
  </si>
  <si>
    <t>SUW-E0100</t>
  </si>
  <si>
    <t>MY54226391</t>
  </si>
  <si>
    <t>SUW-E0101</t>
  </si>
  <si>
    <t>MY54286199</t>
  </si>
  <si>
    <t>SUW-E0102</t>
  </si>
  <si>
    <t>Digital Multimeter</t>
  </si>
  <si>
    <t>FLUKE</t>
  </si>
  <si>
    <t>17B</t>
  </si>
  <si>
    <t>27770596WS</t>
  </si>
  <si>
    <t>1000V</t>
  </si>
  <si>
    <t>SUW-E0103</t>
  </si>
  <si>
    <t>27770600WS</t>
  </si>
  <si>
    <t>SUW-E0104</t>
  </si>
  <si>
    <t>28050340WS</t>
  </si>
  <si>
    <t>SUW-E0105</t>
  </si>
  <si>
    <t>2024-07-26</t>
  </si>
  <si>
    <t>AH.53049</t>
  </si>
  <si>
    <t>SUW-E0106</t>
  </si>
  <si>
    <t>AH.53052</t>
  </si>
  <si>
    <t>SUW-E0107</t>
  </si>
  <si>
    <t>AH.38365</t>
  </si>
  <si>
    <t>SUW-E0108</t>
  </si>
  <si>
    <t>RF SWITCH</t>
  </si>
  <si>
    <t>PE7159</t>
  </si>
  <si>
    <t>PE7159-1</t>
  </si>
  <si>
    <t>SUW-E0109</t>
  </si>
  <si>
    <t>PE7159-2</t>
  </si>
  <si>
    <t>SUW-E0110</t>
  </si>
  <si>
    <t>PE7141</t>
  </si>
  <si>
    <t>SUW-E0113</t>
  </si>
  <si>
    <t>125-604</t>
  </si>
  <si>
    <t>2025-01-02</t>
  </si>
  <si>
    <t>MY54490312</t>
  </si>
  <si>
    <t>3Hz to 40GHz</t>
  </si>
  <si>
    <t>SUW-E0114</t>
  </si>
  <si>
    <t>125-605</t>
  </si>
  <si>
    <t>SUW-E0116</t>
  </si>
  <si>
    <t>125-609</t>
  </si>
  <si>
    <t>SUW-E0117</t>
  </si>
  <si>
    <t>HPM50108-02</t>
  </si>
  <si>
    <t>G005</t>
  </si>
  <si>
    <t>HPF(MHZ) 1200 to 18000</t>
  </si>
  <si>
    <t>SUW-E0118</t>
  </si>
  <si>
    <t>G006</t>
  </si>
  <si>
    <t>SUW-E0119</t>
  </si>
  <si>
    <t>HPM50111-02</t>
  </si>
  <si>
    <t>010</t>
  </si>
  <si>
    <t>HPF(MHZ) 2800 to 18000</t>
  </si>
  <si>
    <t>SUW-E0120</t>
  </si>
  <si>
    <t>011</t>
  </si>
  <si>
    <t>SUW-E0121</t>
  </si>
  <si>
    <t>HPM50112-02</t>
  </si>
  <si>
    <t>G007</t>
  </si>
  <si>
    <t>HPF(MHZ) 6400 to 18000</t>
  </si>
  <si>
    <t>SUW-E0122</t>
  </si>
  <si>
    <t>G008</t>
  </si>
  <si>
    <t>SUW-E0123</t>
  </si>
  <si>
    <t>125-610</t>
  </si>
  <si>
    <t>SUW-E0124</t>
  </si>
  <si>
    <t>125-612</t>
  </si>
  <si>
    <t>30 ~ 1000MHZ</t>
  </si>
  <si>
    <t>SUW-E0125</t>
  </si>
  <si>
    <t>125-611</t>
  </si>
  <si>
    <t>00161451</t>
  </si>
  <si>
    <t>SUW-E0126</t>
  </si>
  <si>
    <t>479/35160215</t>
  </si>
  <si>
    <t>SUW-E0127</t>
  </si>
  <si>
    <t>480/35160215</t>
  </si>
  <si>
    <t>SUW-E0128</t>
  </si>
  <si>
    <t>125-616</t>
  </si>
  <si>
    <t>CO3000/849/35160215</t>
  </si>
  <si>
    <t>SUW-E0129</t>
  </si>
  <si>
    <t>SUW-E0130</t>
  </si>
  <si>
    <t>SUW-E0131</t>
  </si>
  <si>
    <t>Notch Filter</t>
  </si>
  <si>
    <t>BRC50705-02</t>
  </si>
  <si>
    <t>G024</t>
  </si>
  <si>
    <t xml:space="preserve">0 to 5550, 6050 to 12000 </t>
  </si>
  <si>
    <t>SUW-E0132</t>
  </si>
  <si>
    <t>G025</t>
  </si>
  <si>
    <t>SUW-E0133</t>
  </si>
  <si>
    <t>BRM50702-02</t>
  </si>
  <si>
    <t>G036</t>
  </si>
  <si>
    <t>0 to 2170 and 3000 to 18000</t>
  </si>
  <si>
    <t>SUW-E0134</t>
  </si>
  <si>
    <t>G037</t>
  </si>
  <si>
    <t>SUW-E0135</t>
  </si>
  <si>
    <t>BRM50707-02</t>
  </si>
  <si>
    <t>G002</t>
  </si>
  <si>
    <t xml:space="preserve">0 to 1250 and 2600 to 9000 </t>
  </si>
  <si>
    <t>SUW-E0136</t>
  </si>
  <si>
    <t>G003</t>
  </si>
  <si>
    <t>SUW-E0137</t>
  </si>
  <si>
    <t>BRM50709-02</t>
  </si>
  <si>
    <t>G001</t>
  </si>
  <si>
    <t>0 to 2000 and 3200 to 18000</t>
  </si>
  <si>
    <t>SUW-E0138</t>
  </si>
  <si>
    <t>SUW-E0139</t>
  </si>
  <si>
    <t>BRM50713-02</t>
  </si>
  <si>
    <t xml:space="preserve">0 to 1260 and 2240 to 9000 </t>
  </si>
  <si>
    <t>SUW-E0140</t>
  </si>
  <si>
    <t>SUW-E0141</t>
  </si>
  <si>
    <t>BRM50716-2</t>
  </si>
  <si>
    <t>006</t>
  </si>
  <si>
    <t>0 to 4550 and 6400 to 18000</t>
  </si>
  <si>
    <t>SUW-E0142</t>
  </si>
  <si>
    <t>007</t>
  </si>
  <si>
    <t>SUW-E0143</t>
  </si>
  <si>
    <t>HPM50115-02</t>
  </si>
  <si>
    <t xml:space="preserve">1000 to 18000 </t>
  </si>
  <si>
    <t>SUW-E0145</t>
  </si>
  <si>
    <t>HPM50118-02</t>
  </si>
  <si>
    <t>4000 to 18000</t>
  </si>
  <si>
    <t>SUW-E0146</t>
  </si>
  <si>
    <t>SUW-E0147</t>
  </si>
  <si>
    <t>PE7004-10</t>
  </si>
  <si>
    <t>SUW-E0148</t>
  </si>
  <si>
    <t>SUW-E0149</t>
  </si>
  <si>
    <t>125-627</t>
  </si>
  <si>
    <t>Network Analyzer</t>
  </si>
  <si>
    <t>ZNB 40</t>
  </si>
  <si>
    <t>9kHz to 40GHz</t>
  </si>
  <si>
    <t>SUW-E0150</t>
  </si>
  <si>
    <t>Slide AC</t>
  </si>
  <si>
    <t xml:space="preserve">대광전기 </t>
  </si>
  <si>
    <t>1KVA</t>
  </si>
  <si>
    <t>SVK-TF-075-982</t>
  </si>
  <si>
    <t>60V ~ 290V , 1KVA</t>
  </si>
  <si>
    <t>SUW-E0151</t>
  </si>
  <si>
    <t>SVK-TF-075-983</t>
  </si>
  <si>
    <t>30V ~ 300V , 1KVA</t>
  </si>
  <si>
    <t>SUW-E0155</t>
  </si>
  <si>
    <t>SUW-E0156</t>
  </si>
  <si>
    <t>009</t>
  </si>
  <si>
    <t>SUW-E0157</t>
  </si>
  <si>
    <t xml:space="preserve">Filter </t>
  </si>
  <si>
    <t>SUW-E0158</t>
  </si>
  <si>
    <t>여분</t>
  </si>
  <si>
    <t>SUW-E0159</t>
  </si>
  <si>
    <t>00168645</t>
  </si>
  <si>
    <t>18GHz to 40GHz</t>
  </si>
  <si>
    <t>SUW-E0162</t>
  </si>
  <si>
    <t>PE7395-10</t>
  </si>
  <si>
    <t>A011</t>
  </si>
  <si>
    <t>10dB, 2W, 40GHz</t>
  </si>
  <si>
    <t>SUW-E0163</t>
  </si>
  <si>
    <t>A012</t>
  </si>
  <si>
    <t>SUW-E0164</t>
  </si>
  <si>
    <t>A013</t>
  </si>
  <si>
    <t>SUW-E0165</t>
  </si>
  <si>
    <t>A014</t>
  </si>
  <si>
    <t>SUW-E0166</t>
  </si>
  <si>
    <t>WA76-30-21</t>
  </si>
  <si>
    <t>A015</t>
  </si>
  <si>
    <t>30dB, 10W, 40GHz</t>
  </si>
  <si>
    <t>SUW-E0167</t>
  </si>
  <si>
    <t>A016</t>
  </si>
  <si>
    <t>SUW-E0168</t>
  </si>
  <si>
    <t>WA48-30-21</t>
  </si>
  <si>
    <t>A017</t>
  </si>
  <si>
    <t>30dB, 100W, 18GHz</t>
  </si>
  <si>
    <t>SUW-E0169</t>
  </si>
  <si>
    <t>A018</t>
  </si>
  <si>
    <t>SUW-E0170</t>
  </si>
  <si>
    <t>Directional Antenna</t>
  </si>
  <si>
    <t>Cobham</t>
  </si>
  <si>
    <t>FPA3-0.8-6.0R/1329</t>
  </si>
  <si>
    <t>110367-0003</t>
  </si>
  <si>
    <t>0.8 GHz ~ 6.0 GHz</t>
  </si>
  <si>
    <t>SUW-E0171</t>
  </si>
  <si>
    <t>80108-0004</t>
  </si>
  <si>
    <t>SUW-E0172</t>
  </si>
  <si>
    <t>125-817</t>
  </si>
  <si>
    <t>KEYSIGHT</t>
  </si>
  <si>
    <t>N9040B</t>
  </si>
  <si>
    <t>US57212313</t>
  </si>
  <si>
    <t>2Hz to 50GHz</t>
  </si>
  <si>
    <t>RE4</t>
  </si>
  <si>
    <t>SUW-E0173</t>
  </si>
  <si>
    <t>125-818</t>
  </si>
  <si>
    <t>SA Extension Module</t>
  </si>
  <si>
    <t>VDI</t>
  </si>
  <si>
    <t>N9029AV15</t>
  </si>
  <si>
    <t>SAX486</t>
  </si>
  <si>
    <t>50GHz to 75GHz</t>
  </si>
  <si>
    <t>SUW-E0174</t>
  </si>
  <si>
    <t>125-819</t>
  </si>
  <si>
    <t>N9029AV12</t>
  </si>
  <si>
    <t>SAX485</t>
  </si>
  <si>
    <t>60GHz to 90GHz</t>
  </si>
  <si>
    <t>SUW-E0175</t>
  </si>
  <si>
    <t>125-820</t>
  </si>
  <si>
    <t>N9029AV10</t>
  </si>
  <si>
    <t>SAX388</t>
  </si>
  <si>
    <t>75GHz to 110GHz</t>
  </si>
  <si>
    <t>SUW-E0176</t>
  </si>
  <si>
    <t>125-821</t>
  </si>
  <si>
    <t>N9029AV06</t>
  </si>
  <si>
    <t>SAX483</t>
  </si>
  <si>
    <t>110GHz to 170GHz</t>
  </si>
  <si>
    <t>SUW-E0177</t>
  </si>
  <si>
    <t>125-822</t>
  </si>
  <si>
    <t>N9029AV04</t>
  </si>
  <si>
    <t>SAX487</t>
  </si>
  <si>
    <t>170GHz to 260GHz</t>
  </si>
  <si>
    <t>SUW-E0178</t>
  </si>
  <si>
    <t>125-823</t>
  </si>
  <si>
    <t>E8257D</t>
  </si>
  <si>
    <t>MY59140563</t>
  </si>
  <si>
    <t>250kHz to 50GHz</t>
  </si>
  <si>
    <t>SUW-E0179</t>
  </si>
  <si>
    <t>125-824</t>
  </si>
  <si>
    <t>SG Extension Module</t>
  </si>
  <si>
    <t>E8257DV15</t>
  </si>
  <si>
    <t>SGX451</t>
  </si>
  <si>
    <t>SUW-E0180</t>
  </si>
  <si>
    <t>125-825</t>
  </si>
  <si>
    <t>E8257DV12</t>
  </si>
  <si>
    <t>SGX450</t>
  </si>
  <si>
    <t>SUW-E0181</t>
  </si>
  <si>
    <t>125-826</t>
  </si>
  <si>
    <t>E8257DV10</t>
  </si>
  <si>
    <t>SGX449</t>
  </si>
  <si>
    <t>SUW-E0182</t>
  </si>
  <si>
    <t>125-827</t>
  </si>
  <si>
    <t>E8257DV06</t>
  </si>
  <si>
    <t>SGX448</t>
  </si>
  <si>
    <t>SUW-E0183</t>
  </si>
  <si>
    <t>125-828</t>
  </si>
  <si>
    <t>E8257DV04</t>
  </si>
  <si>
    <t>SGX452</t>
  </si>
  <si>
    <t>SUW-E0184</t>
  </si>
  <si>
    <t>Power Meter</t>
  </si>
  <si>
    <t>N1913A</t>
  </si>
  <si>
    <t>MY59460002</t>
  </si>
  <si>
    <t>SUW-E0185</t>
  </si>
  <si>
    <t>125-SE240</t>
  </si>
  <si>
    <t>2025-01-03</t>
  </si>
  <si>
    <t>N8487A</t>
  </si>
  <si>
    <t>MY59440002</t>
  </si>
  <si>
    <t>50MHz to 50GHz</t>
  </si>
  <si>
    <t>SUW-E0186</t>
  </si>
  <si>
    <t>125-830</t>
  </si>
  <si>
    <t>V8486A</t>
  </si>
  <si>
    <t>MY59500002</t>
  </si>
  <si>
    <t>SUW-E0187</t>
  </si>
  <si>
    <t>125-SE241</t>
  </si>
  <si>
    <t>Waveform generator</t>
  </si>
  <si>
    <t>33500B</t>
  </si>
  <si>
    <t>MY59000351</t>
  </si>
  <si>
    <t>20 MHz, 1channel</t>
  </si>
  <si>
    <t>SUW-E0188</t>
  </si>
  <si>
    <t>125-831</t>
  </si>
  <si>
    <t xml:space="preserve">Oscilloscope </t>
  </si>
  <si>
    <t>2025-01-06</t>
  </si>
  <si>
    <t>MSOX4034A</t>
  </si>
  <si>
    <t>MY59240783</t>
  </si>
  <si>
    <t>4+16-channel, 350 MHz</t>
  </si>
  <si>
    <t>SUW-E0190</t>
  </si>
  <si>
    <t>125-834</t>
  </si>
  <si>
    <t xml:space="preserve">UXM 5G Wireless Test Platform </t>
  </si>
  <si>
    <t>2025-01-20</t>
  </si>
  <si>
    <t>E7515B</t>
  </si>
  <si>
    <t>MY58010202</t>
  </si>
  <si>
    <t>SUW-E0191</t>
  </si>
  <si>
    <t>125-835</t>
  </si>
  <si>
    <t>MY57510655</t>
  </si>
  <si>
    <t>SUW-E0194</t>
  </si>
  <si>
    <t>125-837</t>
  </si>
  <si>
    <t xml:space="preserve">Common Interface Unit </t>
  </si>
  <si>
    <t>E7770A</t>
  </si>
  <si>
    <t>MY58290155</t>
  </si>
  <si>
    <t>SUW-E0196</t>
  </si>
  <si>
    <t>MY58290153</t>
  </si>
  <si>
    <t>SUW-E0199</t>
  </si>
  <si>
    <t>125-845</t>
  </si>
  <si>
    <t>mmWave Transceiver</t>
  </si>
  <si>
    <t>M1740A</t>
  </si>
  <si>
    <t>MY58270356</t>
  </si>
  <si>
    <t>SUW-E0200</t>
  </si>
  <si>
    <t>125-846</t>
  </si>
  <si>
    <t>MY58270336</t>
  </si>
  <si>
    <t>SUW-E0201</t>
  </si>
  <si>
    <t>125-847</t>
  </si>
  <si>
    <t>MY58270250</t>
  </si>
  <si>
    <t>SUW-E0202</t>
  </si>
  <si>
    <t>125-848</t>
  </si>
  <si>
    <t>MY58270541</t>
  </si>
  <si>
    <t>SUW-E0205</t>
  </si>
  <si>
    <t>125-850</t>
  </si>
  <si>
    <t>00218957</t>
  </si>
  <si>
    <t>1 GHz to 18 GHz</t>
  </si>
  <si>
    <t>SUW-E0206</t>
  </si>
  <si>
    <t>125-851</t>
  </si>
  <si>
    <t>Harmonic Generator</t>
  </si>
  <si>
    <t>OML,Inc.</t>
  </si>
  <si>
    <t>40200WGS</t>
  </si>
  <si>
    <t>200115-1</t>
  </si>
  <si>
    <t>SUW-E0207</t>
  </si>
  <si>
    <t xml:space="preserve">Video Amplifier </t>
  </si>
  <si>
    <t>FEMTO</t>
  </si>
  <si>
    <t>HVA-200M-40-B</t>
  </si>
  <si>
    <t>05-01-358</t>
  </si>
  <si>
    <t>SUW-E0208</t>
  </si>
  <si>
    <t>05-01-359</t>
  </si>
  <si>
    <t>SUW-E0209</t>
  </si>
  <si>
    <t>Mini-Circuits, Inc</t>
  </si>
  <si>
    <t>mini-Circuits BLP-10.7+</t>
  </si>
  <si>
    <t>SUW-E0210</t>
  </si>
  <si>
    <t>Antenna</t>
  </si>
  <si>
    <t>RRA</t>
  </si>
  <si>
    <t>CMI, Inc.</t>
  </si>
  <si>
    <t>HO22R</t>
  </si>
  <si>
    <t>UL22001</t>
  </si>
  <si>
    <t>33GHz to 50GHz</t>
  </si>
  <si>
    <t>SUW-E0211</t>
  </si>
  <si>
    <t>UL22002</t>
  </si>
  <si>
    <t>SUW-E0212</t>
  </si>
  <si>
    <t>HO15R</t>
  </si>
  <si>
    <t>UL15001</t>
  </si>
  <si>
    <t>SUW-E0213</t>
  </si>
  <si>
    <t>UL15002</t>
  </si>
  <si>
    <t>SUW-E0214</t>
  </si>
  <si>
    <t>HO12R</t>
  </si>
  <si>
    <t>UL12001</t>
  </si>
  <si>
    <t>SUW-E0215</t>
  </si>
  <si>
    <t>UL12002</t>
  </si>
  <si>
    <t>SUW-E0216</t>
  </si>
  <si>
    <t>HO10R</t>
  </si>
  <si>
    <t>UL10001</t>
  </si>
  <si>
    <t>SUW-E0217</t>
  </si>
  <si>
    <t>UL10002</t>
  </si>
  <si>
    <t>SUW-E0218</t>
  </si>
  <si>
    <t>HO06R</t>
  </si>
  <si>
    <t>UL06001</t>
  </si>
  <si>
    <t>SUW-E0219</t>
  </si>
  <si>
    <t>UL06002</t>
  </si>
  <si>
    <t>SUW-E0220</t>
  </si>
  <si>
    <t>HO04R</t>
  </si>
  <si>
    <t>UL04001</t>
  </si>
  <si>
    <t>SUW-E0221</t>
  </si>
  <si>
    <t>UL04002</t>
  </si>
  <si>
    <t>SUW-E0222</t>
  </si>
  <si>
    <t>HO03R</t>
  </si>
  <si>
    <t>UL03001</t>
  </si>
  <si>
    <t>220GHz to 325GHz</t>
  </si>
  <si>
    <t>SUW-E0223</t>
  </si>
  <si>
    <t>UL03002</t>
  </si>
  <si>
    <t>SUW-E0224</t>
  </si>
  <si>
    <t>125-854</t>
  </si>
  <si>
    <t>2025-01-16</t>
  </si>
  <si>
    <t>Flann Microwave, Inc.</t>
  </si>
  <si>
    <t>SUW-E0225</t>
  </si>
  <si>
    <t>125-855</t>
  </si>
  <si>
    <t>Sage Millimeter, Inc.</t>
  </si>
  <si>
    <t>STA-60-15-D8</t>
  </si>
  <si>
    <t>18787-01</t>
  </si>
  <si>
    <t>SUW-E0226</t>
  </si>
  <si>
    <t>125-SE243</t>
  </si>
  <si>
    <t>Waveguide Detector &amp; Full Band Isolator</t>
  </si>
  <si>
    <t>WR15</t>
  </si>
  <si>
    <t>SUW-E0227</t>
  </si>
  <si>
    <t xml:space="preserve">Coupler </t>
  </si>
  <si>
    <t>MI-WANE, Inc.</t>
  </si>
  <si>
    <t>561V-3/385</t>
  </si>
  <si>
    <t>SUW-E0228</t>
  </si>
  <si>
    <t>SUW-E0229</t>
  </si>
  <si>
    <t>561V-10/385</t>
  </si>
  <si>
    <t>SUW-E0230</t>
  </si>
  <si>
    <t xml:space="preserve">Power Splitter </t>
  </si>
  <si>
    <t>WA1534</t>
  </si>
  <si>
    <t>UL001</t>
  </si>
  <si>
    <t>SUW-E0232</t>
  </si>
  <si>
    <t>UL003</t>
  </si>
  <si>
    <t>SUW-E0233</t>
  </si>
  <si>
    <t>UL004</t>
  </si>
  <si>
    <t>SUW-E0234</t>
  </si>
  <si>
    <t xml:space="preserve">High Pass Filter </t>
  </si>
  <si>
    <t>HPM50107</t>
  </si>
  <si>
    <t>G061</t>
  </si>
  <si>
    <t>SUW-E0235</t>
  </si>
  <si>
    <t>High Pass Filter</t>
  </si>
  <si>
    <t>G062</t>
  </si>
  <si>
    <t>SUW-E0236</t>
  </si>
  <si>
    <t>G063</t>
  </si>
  <si>
    <t>SUW-E0237</t>
  </si>
  <si>
    <t>AJ.72586</t>
  </si>
  <si>
    <t>SUW-E0238</t>
  </si>
  <si>
    <t>125-SE258</t>
  </si>
  <si>
    <t>Wainwright Instruments GmbH</t>
  </si>
  <si>
    <t>WHW2-8165-11500-21000-40CD</t>
  </si>
  <si>
    <t>SUW-E0239</t>
  </si>
  <si>
    <t>125-SE259</t>
  </si>
  <si>
    <t>WHW2-7100-10000-18000-40CD</t>
  </si>
  <si>
    <t>SUW-E0240</t>
  </si>
  <si>
    <t>125-SE256</t>
  </si>
  <si>
    <t>Low Pass Filter</t>
  </si>
  <si>
    <t>WLKX12-5400-5940-18000-60ST</t>
  </si>
  <si>
    <t>SUW-E0241</t>
  </si>
  <si>
    <t>125-SE257</t>
  </si>
  <si>
    <t>WLKX10-6400-7424-18000-60ST</t>
  </si>
  <si>
    <t>SUW-E0242</t>
  </si>
  <si>
    <t>MY54260010</t>
  </si>
  <si>
    <t>18GHz, Avg</t>
  </si>
  <si>
    <t>SUW-E0244</t>
  </si>
  <si>
    <t>125-879</t>
  </si>
  <si>
    <t>NRP50S</t>
  </si>
  <si>
    <t>50 MHz ~ 50 GHz</t>
  </si>
  <si>
    <t>SUW-E0245</t>
  </si>
  <si>
    <t>205759</t>
  </si>
  <si>
    <t>10 – 67 GHz</t>
  </si>
  <si>
    <t>SUW-E0246</t>
  </si>
  <si>
    <t>00227907</t>
  </si>
  <si>
    <t>RE5</t>
  </si>
  <si>
    <t>SUW-E0247</t>
  </si>
  <si>
    <t>mmWave OTA Test Chamber</t>
  </si>
  <si>
    <t>Bojay</t>
  </si>
  <si>
    <t>BJ-8827-UL2</t>
  </si>
  <si>
    <t>ZHBJ2008-BU1-F253779</t>
  </si>
  <si>
    <t>800 MHz to 44GHz</t>
  </si>
  <si>
    <t>SUW-E0248</t>
  </si>
  <si>
    <t>N9030B</t>
  </si>
  <si>
    <t>MY60070693</t>
  </si>
  <si>
    <t>2Hz to 44GHz</t>
  </si>
  <si>
    <t>MY60080268</t>
  </si>
  <si>
    <t>SUW-E0250</t>
  </si>
  <si>
    <t>125-856</t>
  </si>
  <si>
    <t>SAX693</t>
  </si>
  <si>
    <t>SUW-E0251</t>
  </si>
  <si>
    <t>SAX790</t>
  </si>
  <si>
    <t>SUW-E0252</t>
  </si>
  <si>
    <t>SAX597</t>
  </si>
  <si>
    <t>SUW-E0253</t>
  </si>
  <si>
    <t>125-857</t>
  </si>
  <si>
    <t>SAX789</t>
  </si>
  <si>
    <t>SUW-E0254</t>
  </si>
  <si>
    <t>SAX791</t>
  </si>
  <si>
    <t>SUW-E0255</t>
  </si>
  <si>
    <t>FSW 50</t>
  </si>
  <si>
    <t>101538</t>
  </si>
  <si>
    <t>2 Hz ~ 50 GHz</t>
  </si>
  <si>
    <t>SUW-E0256</t>
  </si>
  <si>
    <t>125-932</t>
  </si>
  <si>
    <t>Call Box</t>
  </si>
  <si>
    <t>CMW500</t>
  </si>
  <si>
    <t>GSM,WCDMA,LTE</t>
  </si>
  <si>
    <t>SUW-E0257</t>
  </si>
  <si>
    <t>SUW-E0258</t>
  </si>
  <si>
    <t>GSM,CDMA,WCDMA,LTE</t>
  </si>
  <si>
    <t>SUW-E0260</t>
  </si>
  <si>
    <t>Radio Communication Tester</t>
  </si>
  <si>
    <t>CMX500</t>
  </si>
  <si>
    <t>101535</t>
  </si>
  <si>
    <t>SUW-E0261</t>
  </si>
  <si>
    <t xml:space="preserve">ProSAFE 8-Port 10-Gigabit Web Managed Switch </t>
  </si>
  <si>
    <t>NETGEAR</t>
  </si>
  <si>
    <t>XS708Ev2</t>
  </si>
  <si>
    <t>4FU7055HA00A8</t>
  </si>
  <si>
    <t>SUW-E0262</t>
  </si>
  <si>
    <t>26060075</t>
  </si>
  <si>
    <t>SUW-E0263</t>
  </si>
  <si>
    <t>CGO-51000</t>
  </si>
  <si>
    <t>26050056</t>
  </si>
  <si>
    <t>SUW-E0264</t>
  </si>
  <si>
    <t>26050055</t>
  </si>
  <si>
    <t>SUW-E0265</t>
  </si>
  <si>
    <t>Turn Table</t>
  </si>
  <si>
    <t>SUW-E0266</t>
  </si>
  <si>
    <t>125-666</t>
  </si>
  <si>
    <t>Antenna Mast</t>
  </si>
  <si>
    <t>501/36981015/L</t>
  </si>
  <si>
    <t>SUW-E0267</t>
  </si>
  <si>
    <t>125-668</t>
  </si>
  <si>
    <t>504/36981015/L</t>
  </si>
  <si>
    <t>SUW-E0268</t>
  </si>
  <si>
    <t>CO3000-4P with GPIB</t>
  </si>
  <si>
    <t>974/39541016/L</t>
  </si>
  <si>
    <t>SUW-E0269</t>
  </si>
  <si>
    <t>125-676</t>
  </si>
  <si>
    <t xml:space="preserve">Horn Antenna </t>
  </si>
  <si>
    <t>205959</t>
  </si>
  <si>
    <t>SUW-E0270</t>
  </si>
  <si>
    <t>125-677</t>
  </si>
  <si>
    <t>211363</t>
  </si>
  <si>
    <t>SUW-E0271</t>
  </si>
  <si>
    <t>AI.69478</t>
  </si>
  <si>
    <t>SUW-E0272</t>
  </si>
  <si>
    <t>MITEQ</t>
  </si>
  <si>
    <t>AFS42-00101800-25-S-42</t>
  </si>
  <si>
    <t>2029169</t>
  </si>
  <si>
    <t>SUW-E0273</t>
  </si>
  <si>
    <t>Fixed Attenuator</t>
  </si>
  <si>
    <t>SUW-E0274</t>
  </si>
  <si>
    <t>(3GHz HPF)</t>
  </si>
  <si>
    <t>SUW-E0275</t>
  </si>
  <si>
    <t>21</t>
  </si>
  <si>
    <t>(6GHz HPF)</t>
  </si>
  <si>
    <t>SUW-E0276</t>
  </si>
  <si>
    <t>020</t>
  </si>
  <si>
    <t>(5GHz LPF)</t>
  </si>
  <si>
    <t>SUW-E0277</t>
  </si>
  <si>
    <t>Switch Drive</t>
  </si>
  <si>
    <t>3748A09520</t>
  </si>
  <si>
    <t>SUW-E0278</t>
  </si>
  <si>
    <t>125-SE150</t>
  </si>
  <si>
    <t>AMPLIFIER</t>
  </si>
  <si>
    <t>SUW-E0279</t>
  </si>
  <si>
    <t>AK.12115</t>
  </si>
  <si>
    <t>SUW-E0280</t>
  </si>
  <si>
    <t>NRP8S</t>
  </si>
  <si>
    <t>111164</t>
  </si>
  <si>
    <t>10 MHz ~ 8 GHz</t>
  </si>
  <si>
    <t>SUW-E0281</t>
  </si>
  <si>
    <t>N5225B</t>
  </si>
  <si>
    <t>MY61253600</t>
  </si>
  <si>
    <t>10 MHz ~ 50 GHz</t>
  </si>
  <si>
    <t>SUW-E0282</t>
  </si>
  <si>
    <t>125-SE312</t>
  </si>
  <si>
    <t>U2052XA</t>
  </si>
  <si>
    <t>MY60000074</t>
  </si>
  <si>
    <t>10 MHz ~ 18 GHz</t>
  </si>
  <si>
    <t>SUW-E0283</t>
  </si>
  <si>
    <t>125-SE313</t>
  </si>
  <si>
    <t>MY60000079</t>
  </si>
  <si>
    <t>SUW-E0284</t>
  </si>
  <si>
    <t>MY58460570</t>
  </si>
  <si>
    <t>SUW-E0285</t>
  </si>
  <si>
    <t>Average Power Sensor</t>
  </si>
  <si>
    <t>U2055XA</t>
  </si>
  <si>
    <t>MY60000072</t>
  </si>
  <si>
    <t>SUW-E0286</t>
  </si>
  <si>
    <t>MY60000073</t>
  </si>
  <si>
    <t>SUW-E0287</t>
  </si>
  <si>
    <t>125-SE319</t>
  </si>
  <si>
    <t>87301C</t>
  </si>
  <si>
    <t>US55330276</t>
  </si>
  <si>
    <t>10 to 50 GHz</t>
  </si>
  <si>
    <t>SUW-E0288</t>
  </si>
  <si>
    <t>US55330277</t>
  </si>
  <si>
    <t>SUW-E0289</t>
  </si>
  <si>
    <t>169797</t>
  </si>
  <si>
    <t>SUW-E0290</t>
  </si>
  <si>
    <t>26050101</t>
  </si>
  <si>
    <t>SUW-E0291</t>
  </si>
  <si>
    <t>26050102</t>
  </si>
  <si>
    <t>SUW-E0292</t>
  </si>
  <si>
    <t>125-SE322</t>
  </si>
  <si>
    <t>UL005</t>
  </si>
  <si>
    <t>SUW-E0293</t>
  </si>
  <si>
    <t>UL006</t>
  </si>
  <si>
    <t>SUW-E0294</t>
  </si>
  <si>
    <t>UL007</t>
  </si>
  <si>
    <t>SUW-E0295</t>
  </si>
  <si>
    <t>UL008</t>
  </si>
  <si>
    <t>SUW-E0296</t>
  </si>
  <si>
    <t>UL009</t>
  </si>
  <si>
    <t>SUW-E0297</t>
  </si>
  <si>
    <t>UL010</t>
  </si>
  <si>
    <t>SUW-E0298</t>
  </si>
  <si>
    <t>SUW-E0299</t>
  </si>
  <si>
    <t>SUW-E0300</t>
  </si>
  <si>
    <t>00252696</t>
  </si>
  <si>
    <t>SUW-E0301</t>
  </si>
  <si>
    <t>00252687</t>
  </si>
  <si>
    <t>SUW-E0302</t>
  </si>
  <si>
    <t>COBHAM</t>
  </si>
  <si>
    <t>182102-0001</t>
  </si>
  <si>
    <t>SUW-E0303</t>
  </si>
  <si>
    <t>182102-0002</t>
  </si>
  <si>
    <t>SUW-E0304</t>
  </si>
  <si>
    <t>182102-0003</t>
  </si>
  <si>
    <t>SUW-E0305</t>
  </si>
  <si>
    <t>182102-0004</t>
  </si>
  <si>
    <t>SUW-E0306</t>
  </si>
  <si>
    <t>182102-0005</t>
  </si>
  <si>
    <t>SUW-E0307</t>
  </si>
  <si>
    <t>B&amp;Z Technologies, LLC</t>
  </si>
  <si>
    <t>BZR-01001800-231040-182020</t>
  </si>
  <si>
    <t>100 MHz to 18 GHz</t>
  </si>
  <si>
    <t>SUW-E0308</t>
  </si>
  <si>
    <t>169798</t>
  </si>
  <si>
    <t>SUW-E0309</t>
  </si>
  <si>
    <t>125-695</t>
  </si>
  <si>
    <t>3334A10856</t>
  </si>
  <si>
    <t>SUW-E0310</t>
  </si>
  <si>
    <t>FSV40</t>
  </si>
  <si>
    <t>10Hz to 40GHz 
-154dBm to +30dBm</t>
  </si>
  <si>
    <t>3F-RF</t>
  </si>
  <si>
    <t>SUW-E0311</t>
  </si>
  <si>
    <t>125-688</t>
  </si>
  <si>
    <t>FSW43</t>
  </si>
  <si>
    <t>2 Hz to 43 GHz
-153 dBm to 30 dBm</t>
  </si>
  <si>
    <t>1F-RSE</t>
  </si>
  <si>
    <t>SUW-E0312</t>
  </si>
  <si>
    <t>125-691</t>
  </si>
  <si>
    <t>SMB100A</t>
  </si>
  <si>
    <t>100 kHz to 40 GHz</t>
  </si>
  <si>
    <t>SUW-E0313</t>
  </si>
  <si>
    <t>125-693 / 125-693(1)</t>
  </si>
  <si>
    <t>SMBV100A</t>
  </si>
  <si>
    <t>9KHz to 6GHz</t>
  </si>
  <si>
    <t>SUW-E0314</t>
  </si>
  <si>
    <t>125-692</t>
  </si>
  <si>
    <t>Open Switch and Control Unit</t>
  </si>
  <si>
    <t>OSP120</t>
  </si>
  <si>
    <t>30 MHz to 18 GHz</t>
  </si>
  <si>
    <t>SUW-E0316</t>
  </si>
  <si>
    <t>125-675</t>
  </si>
  <si>
    <t>PL-3J</t>
  </si>
  <si>
    <t>-40 °C ~ 150 °C
20 - 98%</t>
  </si>
  <si>
    <t>SUW-E0317</t>
  </si>
  <si>
    <t>125-727</t>
  </si>
  <si>
    <t>Wireless Connectivity Tester</t>
  </si>
  <si>
    <t>CMW270</t>
  </si>
  <si>
    <t>WLAN/BT/LE</t>
  </si>
  <si>
    <t>SUW-E0319</t>
  </si>
  <si>
    <t>POWER DIVIDER</t>
  </si>
  <si>
    <t>SQ373</t>
  </si>
  <si>
    <t>DC to 26.5 GHz</t>
  </si>
  <si>
    <t>SUW-E0320</t>
  </si>
  <si>
    <t>ATTENUATOR</t>
  </si>
  <si>
    <t>54A-10</t>
  </si>
  <si>
    <t>DC to 40 GHz</t>
  </si>
  <si>
    <t>SUW-E0322</t>
  </si>
  <si>
    <t>10 dB</t>
  </si>
  <si>
    <t>None</t>
  </si>
  <si>
    <t>8997 / OSP</t>
  </si>
  <si>
    <t>SUW-E0323</t>
  </si>
  <si>
    <t>SUW-E0324</t>
  </si>
  <si>
    <t>SUW-E0325</t>
  </si>
  <si>
    <t>SUW-E0326</t>
  </si>
  <si>
    <t>125-704</t>
  </si>
  <si>
    <t>BiLog Antenna</t>
  </si>
  <si>
    <t>9163-951</t>
  </si>
  <si>
    <t xml:space="preserve">25 - 3000 MHz,
100 W </t>
  </si>
  <si>
    <t>SUW-E0327</t>
  </si>
  <si>
    <t>125-706</t>
  </si>
  <si>
    <t>BBHA 9120 D</t>
  </si>
  <si>
    <t>1 - 18 GHz</t>
  </si>
  <si>
    <t>SUW-E0328</t>
  </si>
  <si>
    <t>125-SE152</t>
  </si>
  <si>
    <t>Biconical Antenna</t>
  </si>
  <si>
    <t>VUBA 9117</t>
  </si>
  <si>
    <t>9117-348</t>
  </si>
  <si>
    <t>150 - 1000 MHz</t>
  </si>
  <si>
    <t>SUW-E0329</t>
  </si>
  <si>
    <t>125-SE154</t>
  </si>
  <si>
    <t>SUW-E0331</t>
  </si>
  <si>
    <t>125-707</t>
  </si>
  <si>
    <t>SCU-18F</t>
  </si>
  <si>
    <t>1GHz - 18GHz Typical Gain 40dB</t>
  </si>
  <si>
    <t>SUW-E0332</t>
  </si>
  <si>
    <t>125-709</t>
  </si>
  <si>
    <t>SCU-26D</t>
  </si>
  <si>
    <t>18GHz-26.5GHz Typical Gain 45dB</t>
  </si>
  <si>
    <t>SUW-E0333</t>
  </si>
  <si>
    <t>125-685</t>
  </si>
  <si>
    <t>SCU-40D</t>
  </si>
  <si>
    <t>26GHz to 40GHz Typical Gain 50dB</t>
  </si>
  <si>
    <t>SUW-E0334</t>
  </si>
  <si>
    <t>AI.69479</t>
  </si>
  <si>
    <t>SUW-E0335</t>
  </si>
  <si>
    <t>125-713</t>
  </si>
  <si>
    <t>STEATITE</t>
  </si>
  <si>
    <t>QMS-00225</t>
  </si>
  <si>
    <t>18 GHz ~ 26 GHz</t>
  </si>
  <si>
    <t>SUW-E0336</t>
  </si>
  <si>
    <t>125-708</t>
  </si>
  <si>
    <t>QMS-00238</t>
  </si>
  <si>
    <t>26 GHz ~ 40 GHz</t>
  </si>
  <si>
    <t>SUW-E0337</t>
  </si>
  <si>
    <t>125-SE153</t>
  </si>
  <si>
    <t>QMS-00208</t>
  </si>
  <si>
    <t>12 GHz ~ 18 GHz</t>
  </si>
  <si>
    <t>SUW-E0338</t>
  </si>
  <si>
    <t>125-714</t>
  </si>
  <si>
    <t>SUW-E0339</t>
  </si>
  <si>
    <t>125-710</t>
  </si>
  <si>
    <t>SUW-E0340</t>
  </si>
  <si>
    <t>125-665</t>
  </si>
  <si>
    <t>RSE Chamber</t>
  </si>
  <si>
    <t>SUW-E0341</t>
  </si>
  <si>
    <t>Turn Disk</t>
  </si>
  <si>
    <t>CT 0800</t>
  </si>
  <si>
    <t>108/39541016/L</t>
  </si>
  <si>
    <t>SUW-E0342</t>
  </si>
  <si>
    <t>125-717</t>
  </si>
  <si>
    <t>2D Rotator</t>
  </si>
  <si>
    <t>DE 3700-RH</t>
  </si>
  <si>
    <t>103/3954106/L</t>
  </si>
  <si>
    <t>SUW-E0343</t>
  </si>
  <si>
    <t>125-712</t>
  </si>
  <si>
    <t>Antenna Stand</t>
  </si>
  <si>
    <t>AS 2500-PP</t>
  </si>
  <si>
    <t>104/3954106/L</t>
  </si>
  <si>
    <t>SUW-E0344</t>
  </si>
  <si>
    <t>125-715</t>
  </si>
  <si>
    <t>Filter Bank</t>
  </si>
  <si>
    <t>SUW-E0345</t>
  </si>
  <si>
    <t>125-716</t>
  </si>
  <si>
    <t>SUW-E0346</t>
  </si>
  <si>
    <t>125-SE155</t>
  </si>
  <si>
    <t>DC to 18 GHz</t>
  </si>
  <si>
    <t>SUW-E0347</t>
  </si>
  <si>
    <t>125-SE156</t>
  </si>
  <si>
    <t>OSP150</t>
  </si>
  <si>
    <t>SUW-E0348</t>
  </si>
  <si>
    <t>SMA-1</t>
  </si>
  <si>
    <t>50 Ω</t>
  </si>
  <si>
    <t>SUW-E0349</t>
  </si>
  <si>
    <t>SMA-2</t>
  </si>
  <si>
    <t>SUW-E0350</t>
  </si>
  <si>
    <t>OSP1</t>
  </si>
  <si>
    <t>SUW-E0351</t>
  </si>
  <si>
    <t>125-SE203</t>
  </si>
  <si>
    <t>Passive Loop Antenna</t>
  </si>
  <si>
    <t>TESTEK</t>
  </si>
  <si>
    <t>P-Loop</t>
  </si>
  <si>
    <t>diameter 2m</t>
  </si>
  <si>
    <t>SUW-E0352</t>
  </si>
  <si>
    <t>125-765</t>
  </si>
  <si>
    <t>진동시험기</t>
  </si>
  <si>
    <t>㈜가나시험기</t>
  </si>
  <si>
    <t>GNV-700</t>
  </si>
  <si>
    <t>10Hz ~ 60 Hz / 0.1mm ~ 3.6mm</t>
  </si>
  <si>
    <t>SUW-E0353</t>
  </si>
  <si>
    <t>낙하시험기</t>
  </si>
  <si>
    <t>GNP-320</t>
  </si>
  <si>
    <t>Max. 1500mm</t>
  </si>
  <si>
    <t>SUW-E0354</t>
  </si>
  <si>
    <t>연속시험기</t>
  </si>
  <si>
    <t>Autonics</t>
  </si>
  <si>
    <t>LE4S</t>
  </si>
  <si>
    <t>Max. 9999 hour</t>
  </si>
  <si>
    <t>SUW-E0355</t>
  </si>
  <si>
    <t>진동계</t>
  </si>
  <si>
    <t>VB-8201HA</t>
  </si>
  <si>
    <t>039628</t>
  </si>
  <si>
    <t>10 Hz ~ 1kHz</t>
  </si>
  <si>
    <t>SUW-E0356</t>
  </si>
  <si>
    <t>MY57143717</t>
  </si>
  <si>
    <t>2 Hz ~ 44 GHz</t>
  </si>
  <si>
    <t>SUW-E0357</t>
  </si>
  <si>
    <t>MY57143652</t>
  </si>
  <si>
    <t>SUW-E0358</t>
  </si>
  <si>
    <t>BAND REJECT FILTER</t>
  </si>
  <si>
    <t>WAINWRIGHT INSTRUMENTS GMBH</t>
  </si>
  <si>
    <t>WTRCTV5-1710-2000-20-60-40SSM</t>
  </si>
  <si>
    <t>1710 MHz ~ 2 GHz / 20 MHz / 40 dB</t>
  </si>
  <si>
    <t>SUW-E0359</t>
  </si>
  <si>
    <t>WTRCT8-680-980-20-40-40SSM</t>
  </si>
  <si>
    <t>680 MHz ~ 980 MHz / 20 MHz / 40 dB</t>
  </si>
  <si>
    <t>SUW-E0360</t>
  </si>
  <si>
    <t>WTRCT10-2450-2750-20-40-40SSM</t>
  </si>
  <si>
    <t>2450 MHz ~ 2750 MHz / 20 MHz / 40 dB</t>
  </si>
  <si>
    <t>SUW-E0361</t>
  </si>
  <si>
    <t>POWER SPLITTER</t>
  </si>
  <si>
    <t>11667C</t>
  </si>
  <si>
    <t>MY51355084</t>
  </si>
  <si>
    <t>DC-50GHz (Connectors type 2.4mm)</t>
  </si>
  <si>
    <t>SUW-E0362</t>
  </si>
  <si>
    <t>11667A</t>
  </si>
  <si>
    <t>MY51358183</t>
  </si>
  <si>
    <t>DC-18GHz</t>
  </si>
  <si>
    <t>SUW-E0363</t>
  </si>
  <si>
    <t>DC POWER SUPPLY</t>
  </si>
  <si>
    <t>KIKUSUI</t>
  </si>
  <si>
    <t>PWR2001ML</t>
  </si>
  <si>
    <t>AT001025</t>
  </si>
  <si>
    <t>Up to 80V</t>
  </si>
  <si>
    <t>SUW-E0364</t>
  </si>
  <si>
    <t>AQ000860</t>
  </si>
  <si>
    <t>SUW-E0366</t>
  </si>
  <si>
    <t>WA88-30-1313</t>
  </si>
  <si>
    <t>DC-40GHz</t>
  </si>
  <si>
    <t>SUW-E0367</t>
  </si>
  <si>
    <t>125-900</t>
  </si>
  <si>
    <t>Walk in chamber</t>
  </si>
  <si>
    <t>ENEX SCIENCE</t>
  </si>
  <si>
    <t>EN-RC-2004-1K</t>
  </si>
  <si>
    <t>EN20200711</t>
  </si>
  <si>
    <t>-40 °C ~ 85 °C
30 - 98%</t>
  </si>
  <si>
    <t>SUW-E0368</t>
  </si>
  <si>
    <t>AX000660</t>
  </si>
  <si>
    <t>SUW-E0369</t>
  </si>
  <si>
    <t>AX001947</t>
  </si>
  <si>
    <t>SUW-E0370</t>
  </si>
  <si>
    <t>125-906</t>
  </si>
  <si>
    <t>Mobile Radio Test Platform</t>
  </si>
  <si>
    <t>MTP300A</t>
  </si>
  <si>
    <t>MTP300A010266</t>
  </si>
  <si>
    <t>650 MHz ~ 6 GHz</t>
  </si>
  <si>
    <t>SUW-E0371</t>
  </si>
  <si>
    <t>125-543</t>
  </si>
  <si>
    <t>NRP-Z91</t>
  </si>
  <si>
    <t>6GHz, Avg</t>
  </si>
  <si>
    <t>SUW-E0372</t>
  </si>
  <si>
    <t>125-SE110</t>
  </si>
  <si>
    <t>Audio Analyzer</t>
  </si>
  <si>
    <t>8903B</t>
  </si>
  <si>
    <t>3729A17310</t>
  </si>
  <si>
    <t>20 Hz to 100 kHz</t>
  </si>
  <si>
    <t>SUW-E0373</t>
  </si>
  <si>
    <t>125-SE111</t>
  </si>
  <si>
    <t xml:space="preserve">Modulation Analyzer </t>
  </si>
  <si>
    <t>8901B</t>
  </si>
  <si>
    <t>2806A01423</t>
  </si>
  <si>
    <t>150 kHz ~ 1300 MHz</t>
  </si>
  <si>
    <t>SUW-E0374</t>
  </si>
  <si>
    <t>125-SE112</t>
  </si>
  <si>
    <t>Function Waveform Generator</t>
  </si>
  <si>
    <t>33250A</t>
  </si>
  <si>
    <t>MY40009047</t>
  </si>
  <si>
    <t>80 MHz</t>
  </si>
  <si>
    <t>SUW-E0375</t>
  </si>
  <si>
    <t>WA24-40-0304</t>
  </si>
  <si>
    <t>8.5GHz, 50W, 40dB</t>
  </si>
  <si>
    <t>SUW-E0376</t>
  </si>
  <si>
    <t>SUW-E0377</t>
  </si>
  <si>
    <t>SUW-E0378</t>
  </si>
  <si>
    <t>SUW-E0379</t>
  </si>
  <si>
    <t>SUW-E0380</t>
  </si>
  <si>
    <t>SUW-E0381</t>
  </si>
  <si>
    <t>SUW-E0382</t>
  </si>
  <si>
    <t>SUW-E0383</t>
  </si>
  <si>
    <t>SUW-E0384</t>
  </si>
  <si>
    <t>SUW-E0385</t>
  </si>
  <si>
    <t>WAINWRIGHT</t>
  </si>
  <si>
    <t>WRCGV10-2260-2300-2400-2440-50SS</t>
  </si>
  <si>
    <t>2300MHz ~ 2400MHz / 100MHz / 50dB</t>
  </si>
  <si>
    <t>SUW-E0386</t>
  </si>
  <si>
    <t>WRCGV10-2465-2500-2600-2635-45SS</t>
  </si>
  <si>
    <t>2500MHz ~ 2600MHz / 100MHz / 45dB</t>
  </si>
  <si>
    <t>SUW-E0387</t>
  </si>
  <si>
    <t>WRCGV14-2560-2570-2620-2630-50SS</t>
  </si>
  <si>
    <t>2570MHz ~ 2620MHz / 50MHz / 50dB</t>
  </si>
  <si>
    <t>SUW-E0388</t>
  </si>
  <si>
    <t>WRCQV14-3250-3400-3800-3950-60SS</t>
  </si>
  <si>
    <t>3400MHz ~ 3800MHz / 400MHz / 60dB</t>
  </si>
  <si>
    <t>SUW-E0389</t>
  </si>
  <si>
    <t>WRCTF12+9-2575-2590-2690-2705-45SS</t>
  </si>
  <si>
    <t>2590MHz ~ 2690MHz / 100MHz / 45dB</t>
  </si>
  <si>
    <t>SUW-E0390</t>
  </si>
  <si>
    <t>RF Switching Unit</t>
  </si>
  <si>
    <t>TA Engineering</t>
  </si>
  <si>
    <t>TA-018S-16</t>
  </si>
  <si>
    <t>SW-1</t>
  </si>
  <si>
    <t>SP4T, SPDT, Isolation:60dB</t>
  </si>
  <si>
    <t>SUW-E0391</t>
  </si>
  <si>
    <t>10dB ATTENUATOR</t>
  </si>
  <si>
    <t>MINI-CIRCUITS</t>
  </si>
  <si>
    <t>BW-K10-2W44+</t>
  </si>
  <si>
    <t>10dB, DC to 40 GHz</t>
  </si>
  <si>
    <t>SUW-E0392</t>
  </si>
  <si>
    <t>56-10</t>
  </si>
  <si>
    <t>10dB, DC to 26.5 GHz</t>
  </si>
  <si>
    <t>SUW-E0393</t>
  </si>
  <si>
    <t>SUW-E0395</t>
  </si>
  <si>
    <t>125-SE300</t>
  </si>
  <si>
    <t>WA96-30-0303</t>
  </si>
  <si>
    <t>30dB, 250W, DC to 18 GHz</t>
  </si>
  <si>
    <t>SUW-E0396</t>
  </si>
  <si>
    <t>SUW-E0397</t>
  </si>
  <si>
    <t>SUW-E0398</t>
  </si>
  <si>
    <t>SUW-E0399</t>
  </si>
  <si>
    <t>SUW-E0400</t>
  </si>
  <si>
    <t>SUW-E0401</t>
  </si>
  <si>
    <t>SUW-E0402</t>
  </si>
  <si>
    <t>SUW-E0403</t>
  </si>
  <si>
    <t>125-SE302</t>
  </si>
  <si>
    <t>BW000860</t>
  </si>
  <si>
    <t>SUW-E0404</t>
  </si>
  <si>
    <t>125-SE301</t>
  </si>
  <si>
    <t>BW000861</t>
  </si>
  <si>
    <t>SUW-E0405</t>
  </si>
  <si>
    <t>125-961</t>
  </si>
  <si>
    <t>Vector Signal Generator</t>
  </si>
  <si>
    <t>DAkkS</t>
  </si>
  <si>
    <t>SMW200A</t>
  </si>
  <si>
    <t>100 kHz to 7.5 GHz</t>
  </si>
  <si>
    <t>SUW-E0406</t>
  </si>
  <si>
    <t>125-964 / 125-965</t>
  </si>
  <si>
    <t>RF SWITCHING SYSTEM</t>
  </si>
  <si>
    <t>2025-01-04</t>
  </si>
  <si>
    <t>TAESW-32WAYS</t>
  </si>
  <si>
    <t>TAESW-32WAYS-001</t>
  </si>
  <si>
    <t>20dB ATT, 32 Port, DC to 26.5GHz</t>
  </si>
  <si>
    <t>SUW-E0407</t>
  </si>
  <si>
    <t>SUW-E0408</t>
  </si>
  <si>
    <t>SUW-E0410</t>
  </si>
  <si>
    <t>INNOVISION</t>
  </si>
  <si>
    <t>ELNA00930-40</t>
  </si>
  <si>
    <t>9kHz to 3GHz
40dB Gain</t>
  </si>
  <si>
    <t>SUW-E0411</t>
  </si>
  <si>
    <t>Coaxial Circulator</t>
  </si>
  <si>
    <t>RF COREA</t>
  </si>
  <si>
    <t>U-G002.004S.1</t>
  </si>
  <si>
    <t>2GHz to 4GHz</t>
  </si>
  <si>
    <t>SUW-E0412</t>
  </si>
  <si>
    <t>U-G003.006S.1</t>
  </si>
  <si>
    <t>3GHz to 6 GHz</t>
  </si>
  <si>
    <t>SUW-E0413</t>
  </si>
  <si>
    <t>Coaxial Isolator</t>
  </si>
  <si>
    <t>I-G002.004S.1</t>
  </si>
  <si>
    <t>SUW-E0414</t>
  </si>
  <si>
    <t>SUW-E0415</t>
  </si>
  <si>
    <t>I-M700.G01S.1</t>
  </si>
  <si>
    <t>700MHz to 1000MHz</t>
  </si>
  <si>
    <t>SUW-E0416</t>
  </si>
  <si>
    <t>SUW-E0417</t>
  </si>
  <si>
    <t>U-M800.1000.S</t>
  </si>
  <si>
    <t>800MHz to 1000MHz</t>
  </si>
  <si>
    <t>SUW-E0418</t>
  </si>
  <si>
    <t>Access Point(WIFI 6E)</t>
  </si>
  <si>
    <t>ROG</t>
  </si>
  <si>
    <t>ROGRaptureGT-AXE11000</t>
  </si>
  <si>
    <t>WIFI 6E AP</t>
  </si>
  <si>
    <t>1F-RF</t>
  </si>
  <si>
    <t>SUW-E0419</t>
  </si>
  <si>
    <t>Access Point(CBRS)</t>
  </si>
  <si>
    <t>QUCELL</t>
  </si>
  <si>
    <t>QUCELL(1ED204300036)</t>
  </si>
  <si>
    <t>1ED204300036</t>
  </si>
  <si>
    <t>SUW-E0420</t>
  </si>
  <si>
    <t>5G NAR Base Station(CBRS)</t>
  </si>
  <si>
    <t>Airspan Networks Inc.</t>
  </si>
  <si>
    <t>AirSpeed 2900</t>
  </si>
  <si>
    <t>ED0A5A0164BE</t>
  </si>
  <si>
    <t>5G NR Base Station</t>
  </si>
  <si>
    <t>SUW-E0421</t>
  </si>
  <si>
    <t>BZR-01001800-231040-181515</t>
  </si>
  <si>
    <t>SUW-E0422</t>
  </si>
  <si>
    <t>AM.17142</t>
  </si>
  <si>
    <t>SUW-E0423</t>
  </si>
  <si>
    <t>AM.17143</t>
  </si>
  <si>
    <t>UL-QP-18-01(01)</t>
  </si>
  <si>
    <t>교정주기</t>
  </si>
  <si>
    <t>비고</t>
  </si>
  <si>
    <t>사용전 교정</t>
  </si>
  <si>
    <t>mmWave</t>
  </si>
  <si>
    <t>1945-1</t>
  </si>
  <si>
    <t>1945-2</t>
  </si>
  <si>
    <t>1944</t>
  </si>
  <si>
    <t xml:space="preserve">Switch Driver </t>
  </si>
  <si>
    <t>2508A07809</t>
  </si>
  <si>
    <t>비관리 장비</t>
  </si>
  <si>
    <t xml:space="preserve">EUT Table </t>
  </si>
  <si>
    <t xml:space="preserve">Antenna Master </t>
  </si>
  <si>
    <t xml:space="preserve">Tri-pod </t>
  </si>
  <si>
    <t xml:space="preserve">CHAMBER </t>
  </si>
  <si>
    <t>10cm</t>
  </si>
  <si>
    <t>70cm</t>
  </si>
  <si>
    <t xml:space="preserve">RF SWITCH </t>
  </si>
  <si>
    <t>CO3000/849/35160215/L</t>
  </si>
  <si>
    <t>SUW-E0040</t>
  </si>
  <si>
    <t>102681</t>
  </si>
  <si>
    <t>G-RF 이관</t>
  </si>
  <si>
    <t>SUW-E0092</t>
  </si>
  <si>
    <t>SAR  이관</t>
  </si>
  <si>
    <t>SUW-E0093</t>
  </si>
  <si>
    <t>SUW-E0152</t>
  </si>
  <si>
    <t>AUDIO ANALYZER</t>
  </si>
  <si>
    <t>SUW-E0153</t>
  </si>
  <si>
    <t>MODULATION ANALYZER</t>
  </si>
  <si>
    <t>SUW-E0154</t>
  </si>
  <si>
    <t>FUNCTION/ARBITRARY WAVEFORM GENERATION</t>
  </si>
  <si>
    <t>SUW-E0160</t>
  </si>
  <si>
    <t>MAX 1W(+30dBm)avg, 2W</t>
  </si>
  <si>
    <t>SUW-E0161</t>
  </si>
  <si>
    <t>SUW-E0189</t>
  </si>
  <si>
    <t>MY57510596</t>
  </si>
  <si>
    <t>SUW-E0192</t>
  </si>
  <si>
    <t>MY58120110</t>
  </si>
  <si>
    <t>mmWave1</t>
  </si>
  <si>
    <t>SUW-E0193</t>
  </si>
  <si>
    <t>MY58290159</t>
  </si>
  <si>
    <t>SUW-E0195</t>
  </si>
  <si>
    <t>MY58290152</t>
  </si>
  <si>
    <t>SUW-E0197</t>
  </si>
  <si>
    <t>MY58270380</t>
  </si>
  <si>
    <t>SUW-E0198</t>
  </si>
  <si>
    <t>MY58270535</t>
  </si>
  <si>
    <t>SUW-E0203</t>
  </si>
  <si>
    <t>MY58270439</t>
  </si>
  <si>
    <t>SUW-E0204</t>
  </si>
  <si>
    <t>MY58270341</t>
  </si>
  <si>
    <t>SUW-E0243</t>
  </si>
  <si>
    <t>E-H Field Analyzer</t>
  </si>
  <si>
    <t>Narda</t>
  </si>
  <si>
    <t>EHP-200AC</t>
  </si>
  <si>
    <t>170WX91008</t>
  </si>
  <si>
    <t xml:space="preserve">3 kHz up to 30 MHz </t>
  </si>
  <si>
    <t>SUW-E0259</t>
  </si>
  <si>
    <t>G-RF 이관 -&gt; SAR 이관</t>
  </si>
  <si>
    <t>SUW-E0020</t>
  </si>
  <si>
    <t>MY53400994</t>
  </si>
  <si>
    <t>250kHz to 40GHz</t>
  </si>
  <si>
    <t>SUW-E0409</t>
  </si>
  <si>
    <t>Call box</t>
  </si>
  <si>
    <t>2024-01-05</t>
  </si>
  <si>
    <t>SUW-W0101 / SAR 이관</t>
  </si>
  <si>
    <t>SUW-E0012</t>
  </si>
  <si>
    <t>1 chamber Filter Box</t>
  </si>
  <si>
    <t>SUW-E0044</t>
  </si>
  <si>
    <t>Power Divider</t>
  </si>
  <si>
    <t>2150</t>
  </si>
  <si>
    <t>DC to 40GHz</t>
  </si>
  <si>
    <t>SUW-E0053</t>
  </si>
  <si>
    <t>2151</t>
  </si>
  <si>
    <t>SUW-E0054</t>
  </si>
  <si>
    <t>2152</t>
  </si>
  <si>
    <t>SUW-E0055</t>
  </si>
  <si>
    <t>1575</t>
  </si>
  <si>
    <t>2153</t>
  </si>
  <si>
    <t>SUW-E0056</t>
  </si>
  <si>
    <t>2154</t>
  </si>
  <si>
    <t>SUW-E0069</t>
  </si>
  <si>
    <t>1667</t>
  </si>
  <si>
    <t>SUW-E0089</t>
  </si>
  <si>
    <t>T06</t>
  </si>
  <si>
    <t>SUW-E0096</t>
  </si>
  <si>
    <t>1850</t>
  </si>
  <si>
    <t>164431</t>
  </si>
  <si>
    <t>DIRECTIONAL COUPLER</t>
  </si>
  <si>
    <t>SUW-E0097</t>
  </si>
  <si>
    <t>164432</t>
  </si>
  <si>
    <t>SUW-E0017</t>
  </si>
  <si>
    <t>150312</t>
  </si>
  <si>
    <t>SUW-E0112</t>
  </si>
  <si>
    <t>115331</t>
  </si>
  <si>
    <t>SUW-E0115</t>
  </si>
  <si>
    <t>102271</t>
  </si>
  <si>
    <t>SUW-E0144</t>
  </si>
  <si>
    <t>G004</t>
  </si>
  <si>
    <t>SUW-E0231</t>
  </si>
  <si>
    <t>UL002</t>
  </si>
  <si>
    <t>SUW-E0318</t>
  </si>
  <si>
    <t>SUW-E0321</t>
  </si>
  <si>
    <t>DC to 26.5GHz</t>
  </si>
  <si>
    <t>SUW-E0330</t>
  </si>
  <si>
    <t>Pre-Amp</t>
  </si>
  <si>
    <t>SCU-03</t>
  </si>
  <si>
    <t>0.01 to 3GHz 
GAIN 35dB</t>
  </si>
  <si>
    <t>SUW-E0365</t>
  </si>
  <si>
    <t>SUW-E0070</t>
  </si>
  <si>
    <t>1594</t>
  </si>
  <si>
    <t>1668</t>
  </si>
  <si>
    <t>SUW-E0315</t>
  </si>
  <si>
    <t>AI.69485</t>
  </si>
  <si>
    <t>50℃, 90%</t>
  </si>
  <si>
    <t>SUW-W0006</t>
  </si>
  <si>
    <t>SUW-E0111</t>
  </si>
  <si>
    <t>PRE-AMPLIFIER</t>
  </si>
  <si>
    <t>1896138</t>
  </si>
  <si>
    <t>2 chamber Filter Box</t>
  </si>
  <si>
    <t>SUW-E0394</t>
  </si>
  <si>
    <t>SQ355</t>
  </si>
  <si>
    <t>특이사항</t>
  </si>
  <si>
    <t>VULB9163</t>
  </si>
  <si>
    <t>30 ~ 3000MHz</t>
  </si>
  <si>
    <t>30~1000 MHz까지만 교정되어 있음. (장비리스트 수정 필요)</t>
  </si>
  <si>
    <t>10~30도까지만 교정되어 있음</t>
  </si>
  <si>
    <t>-30~ 50도 까지만 교정되어 있음</t>
  </si>
  <si>
    <t>30 ~ 3000MHZ</t>
  </si>
  <si>
    <t>대광전기</t>
  </si>
  <si>
    <t>0V ~ 300V , 1KVA</t>
  </si>
  <si>
    <t>60~290 V까지만 측정됨</t>
  </si>
  <si>
    <t>30~300 V까지 측정됨 (위의 장비와 교정 Spec이 다름)</t>
  </si>
  <si>
    <t>책임자</t>
  </si>
  <si>
    <t>정</t>
  </si>
  <si>
    <t>기술책임자</t>
  </si>
  <si>
    <t>부</t>
  </si>
  <si>
    <t>장비관리담당자</t>
  </si>
  <si>
    <t>UL Korea Suwon Laboratory</t>
  </si>
  <si>
    <t>100457</t>
  </si>
  <si>
    <t>351741</t>
  </si>
  <si>
    <t xml:space="preserve">Chamber 2   </t>
  </si>
  <si>
    <t>SUW-E273</t>
  </si>
  <si>
    <t>SUW-E286</t>
  </si>
  <si>
    <t>SUW-E287</t>
  </si>
  <si>
    <t>SUW-E288</t>
  </si>
  <si>
    <t>BZR-01001800-230140-182020</t>
  </si>
  <si>
    <t>Spectrum Analyzer</t>
    <phoneticPr fontId="6" type="noConversion"/>
  </si>
  <si>
    <t>N9040B</t>
    <phoneticPr fontId="6" type="noConversion"/>
  </si>
  <si>
    <t>SUW-E0249</t>
    <phoneticPr fontId="6" type="noConversion"/>
  </si>
  <si>
    <t>ATTENUATOR</t>
    <phoneticPr fontId="6" type="noConversion"/>
  </si>
  <si>
    <t>169796</t>
    <phoneticPr fontId="6" type="noConversion"/>
  </si>
  <si>
    <t>소속팀</t>
    <phoneticPr fontId="6" type="noConversion"/>
  </si>
  <si>
    <t>RF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</si>
</sst>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8">
    <font>
      <sz val="11"/>
      <color theme="1"/>
      <name val="맑은 고딕"/>
      <family val="2"/>
      <charset val="129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FFFFFF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sz val="1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0"/>
      <color rgb="FFFF0000"/>
      <name val="Monotype Sans WT J"/>
      <family val="3"/>
      <charset val="129"/>
    </font>
    <font>
      <sz val="8"/>
      <color theme="1"/>
      <name val="돋움"/>
      <family val="2"/>
      <charset val="129"/>
    </font>
    <font>
      <sz val="8"/>
      <name val="Arial"/>
      <family val="2"/>
    </font>
    <font>
      <sz val="10"/>
      <color theme="1"/>
      <name val="Arial"/>
      <family val="3"/>
      <charset val="129"/>
    </font>
    <font>
      <sz val="8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Malgun Gothic Semilight"/>
      <family val="3"/>
      <charset val="129"/>
    </font>
    <font>
      <b/>
      <sz val="8"/>
      <color theme="1"/>
      <name val="Arial"/>
      <family val="2"/>
    </font>
    <font>
      <b/>
      <sz val="11"/>
      <color theme="1"/>
      <name val="Malgun Gothic Semilight"/>
      <family val="3"/>
      <charset val="129"/>
    </font>
    <font>
      <sz val="8"/>
      <color theme="1"/>
      <name val="Malgun Gothic Semilight"/>
      <family val="3"/>
      <charset val="129"/>
    </font>
    <font>
      <sz val="6"/>
      <color theme="1"/>
      <name val="Arial"/>
      <family val="2"/>
    </font>
    <font>
      <sz val="7"/>
      <color theme="1"/>
      <name val="Arial"/>
      <family val="2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D9D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0" borderId="0"/>
  </cellStyleXfs>
  <cellXfs count="1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4" borderId="3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17" fontId="15" fillId="0" borderId="1" xfId="9" quotePrefix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15" fillId="0" borderId="1" xfId="2" applyNumberFormat="1" applyFont="1" applyBorder="1" applyAlignment="1">
      <alignment horizontal="center" vertical="center"/>
    </xf>
    <xf numFmtId="49" fontId="17" fillId="0" borderId="1" xfId="3" applyNumberFormat="1" applyFont="1" applyBorder="1" applyAlignment="1">
      <alignment horizontal="center" vertical="center"/>
    </xf>
    <xf numFmtId="49" fontId="15" fillId="0" borderId="1" xfId="3" applyNumberFormat="1" applyFont="1" applyBorder="1" applyAlignment="1">
      <alignment horizontal="center" vertical="center"/>
    </xf>
    <xf numFmtId="49" fontId="15" fillId="0" borderId="1" xfId="9" applyNumberFormat="1" applyFont="1" applyBorder="1" applyAlignment="1">
      <alignment horizontal="center" vertical="center"/>
    </xf>
    <xf numFmtId="49" fontId="15" fillId="0" borderId="1" xfId="0" quotePrefix="1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15" fillId="5" borderId="1" xfId="2" applyFont="1" applyFill="1" applyBorder="1" applyAlignment="1">
      <alignment horizontal="center" vertical="center"/>
    </xf>
    <xf numFmtId="0" fontId="15" fillId="5" borderId="1" xfId="9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4" fillId="3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6" fillId="8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6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22" xfId="0" applyFont="1" applyBorder="1" applyAlignment="1">
      <alignment horizontal="left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4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right"/>
    </xf>
    <xf numFmtId="0" fontId="26" fillId="0" borderId="1" xfId="0" applyFont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176" fontId="16" fillId="0" borderId="7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6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7" xfId="0" applyNumberFormat="1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26" fillId="8" borderId="14" xfId="0" applyFont="1" applyFill="1" applyBorder="1" applyAlignment="1">
      <alignment horizontal="center" vertical="center"/>
    </xf>
    <xf numFmtId="0" fontId="0" fillId="0" borderId="17" xfId="0" applyBorder="1" applyAlignment="1"/>
    <xf numFmtId="0" fontId="26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26" fillId="0" borderId="1" xfId="0" applyFont="1" applyBorder="1" applyAlignment="1">
      <alignment horizontal="center" vertical="center"/>
    </xf>
    <xf numFmtId="0" fontId="0" fillId="0" borderId="15" xfId="0" applyBorder="1" applyAlignment="1"/>
    <xf numFmtId="49" fontId="26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</cellXfs>
  <cellStyles count="16">
    <cellStyle name="Normal 2" xfId="15" xr:uid="{00000000-0005-0000-0000-000000000000}"/>
    <cellStyle name="표준" xfId="0" builtinId="0"/>
    <cellStyle name="표준 10" xfId="9" xr:uid="{00000000-0005-0000-0000-000002000000}"/>
    <cellStyle name="표준 11" xfId="10" xr:uid="{00000000-0005-0000-0000-000003000000}"/>
    <cellStyle name="표준 12" xfId="11" xr:uid="{00000000-0005-0000-0000-000004000000}"/>
    <cellStyle name="표준 13" xfId="12" xr:uid="{00000000-0005-0000-0000-000005000000}"/>
    <cellStyle name="표준 14" xfId="13" xr:uid="{00000000-0005-0000-0000-000006000000}"/>
    <cellStyle name="표준 15" xfId="14" xr:uid="{00000000-0005-0000-0000-000007000000}"/>
    <cellStyle name="표준 2" xfId="6" xr:uid="{00000000-0005-0000-0000-000008000000}"/>
    <cellStyle name="표준 3" xfId="1" xr:uid="{00000000-0005-0000-0000-000009000000}"/>
    <cellStyle name="표준 4" xfId="2" xr:uid="{00000000-0005-0000-0000-00000A000000}"/>
    <cellStyle name="표준 5" xfId="3" xr:uid="{00000000-0005-0000-0000-00000B000000}"/>
    <cellStyle name="표준 6" xfId="4" xr:uid="{00000000-0005-0000-0000-00000C000000}"/>
    <cellStyle name="표준 7" xfId="5" xr:uid="{00000000-0005-0000-0000-00000D000000}"/>
    <cellStyle name="표준 8" xfId="7" xr:uid="{00000000-0005-0000-0000-00000E000000}"/>
    <cellStyle name="표준 9" xfId="8" xr:uid="{00000000-0005-0000-0000-00000F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171065</xdr:colOff>
      <xdr:row>0</xdr:row>
      <xdr:rowOff>68036</xdr:rowOff>
    </xdr:from>
    <xdr:to>
      <xdr:col>0</xdr:col>
      <xdr:colOff>667113</xdr:colOff>
      <xdr:row>0</xdr:row>
      <xdr:rowOff>535855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065" y="68036"/>
          <a:ext cx="485253" cy="467819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83"/>
  <sheetViews>
    <sheetView showGridLines="0" tabSelected="1" view="pageBreakPreview" zoomScaleNormal="100" zoomScaleSheetLayoutView="100" workbookViewId="0">
      <pane ySplit="2" topLeftCell="A377" activePane="bottomLeft" state="frozen"/>
      <selection pane="bottomLeft" activeCell="D387" sqref="D387"/>
    </sheetView>
  </sheetViews>
  <sheetFormatPr defaultColWidth="8.59765625" defaultRowHeight="20.25" customHeight="1"/>
  <cols>
    <col min="1" max="2" width="25.59765625" style="7" customWidth="1"/>
    <col min="3" max="3" width="56" style="7" bestFit="1" customWidth="1"/>
    <col min="4" max="4" width="56" style="7" customWidth="1"/>
    <col min="5" max="5" width="25.09765625" style="7" customWidth="1"/>
    <col min="6" max="6" width="16.59765625" style="44" customWidth="1"/>
    <col min="7" max="7" width="12.59765625" style="44" customWidth="1"/>
    <col min="8" max="8" width="23" style="44" bestFit="1" customWidth="1"/>
    <col min="9" max="9" width="16.59765625" style="44" customWidth="1"/>
    <col min="10" max="10" width="47.59765625" style="7" bestFit="1" customWidth="1"/>
    <col min="11" max="11" width="8.5" style="7" customWidth="1"/>
    <col min="12" max="12" width="54.8984375" style="7" bestFit="1" customWidth="1"/>
    <col min="13" max="13" width="34.5" style="38" customWidth="1"/>
    <col min="14" max="14" width="57" style="7" bestFit="1" customWidth="1"/>
    <col min="15" max="15" width="13.5" style="7" bestFit="1" customWidth="1"/>
    <col min="16" max="16" width="14.59765625" style="7" bestFit="1" customWidth="1"/>
    <col min="17" max="17" width="15.5" style="7" customWidth="1"/>
    <col min="18" max="18" width="24.59765625" style="6" customWidth="1"/>
    <col min="19" max="23" width="8.59765625" style="6" customWidth="1"/>
    <col min="24" max="16384" width="8.59765625" style="6"/>
  </cols>
  <sheetData>
    <row r="1" spans="1:20" ht="48" customHeight="1" thickBot="1">
      <c r="A1" s="5" t="s">
        <v>0</v>
      </c>
      <c r="B1" s="5"/>
      <c r="C1" s="4"/>
      <c r="D1" s="4"/>
      <c r="E1" s="4"/>
      <c r="J1" s="4"/>
      <c r="K1" s="4"/>
      <c r="L1" s="4"/>
      <c r="M1" s="29"/>
      <c r="N1" s="4"/>
      <c r="O1" s="4"/>
      <c r="P1" s="4"/>
      <c r="Q1" s="88">
        <v>45518</v>
      </c>
    </row>
    <row r="2" spans="1:20" s="1" customFormat="1" ht="30.6" customHeight="1">
      <c r="A2" s="8" t="s">
        <v>1</v>
      </c>
      <c r="B2" s="9" t="s">
        <v>2</v>
      </c>
      <c r="C2" s="10" t="s">
        <v>3</v>
      </c>
      <c r="D2" s="12" t="s">
        <v>1439</v>
      </c>
      <c r="E2" s="11" t="s">
        <v>4</v>
      </c>
      <c r="F2" s="45" t="s">
        <v>5</v>
      </c>
      <c r="G2" s="46" t="s">
        <v>6</v>
      </c>
      <c r="H2" s="47" t="s">
        <v>7</v>
      </c>
      <c r="I2" s="46" t="s">
        <v>8</v>
      </c>
      <c r="J2" s="10" t="s">
        <v>9</v>
      </c>
      <c r="K2" s="12" t="s">
        <v>10</v>
      </c>
      <c r="L2" s="10" t="s">
        <v>11</v>
      </c>
      <c r="M2" s="30" t="s">
        <v>12</v>
      </c>
      <c r="N2" s="10" t="s">
        <v>13</v>
      </c>
      <c r="O2" s="10" t="s">
        <v>14</v>
      </c>
      <c r="P2" s="11" t="s">
        <v>15</v>
      </c>
      <c r="Q2" s="13" t="s">
        <v>16</v>
      </c>
      <c r="R2" s="6"/>
      <c r="S2" s="6"/>
      <c r="T2" s="6"/>
    </row>
    <row r="3" spans="1:20" ht="30" customHeight="1">
      <c r="A3" s="15" t="s">
        <v>17</v>
      </c>
      <c r="B3" s="24" t="s">
        <v>18</v>
      </c>
      <c r="C3" s="16" t="s">
        <v>19</v>
      </c>
      <c r="D3" s="16" t="s">
        <v>1440</v>
      </c>
      <c r="E3" s="16" t="s">
        <v>20</v>
      </c>
      <c r="F3" s="91" t="s">
        <v>21</v>
      </c>
      <c r="G3" s="17" t="s">
        <v>22</v>
      </c>
      <c r="H3" s="17">
        <v>12</v>
      </c>
      <c r="I3" s="92">
        <f t="shared" ref="I3:I66" si="0">IF(H3=12,DATE(YEAR(F3)+1,MONTH(F3),DAY(F3)),IF(H3=24,DATE(YEAR(F3)+2,MONTH(F3),DAY(F3)),IF(H3="N/A","N/A")))</f>
        <v>45861</v>
      </c>
      <c r="J3" s="16" t="s">
        <v>23</v>
      </c>
      <c r="K3" s="16">
        <v>2014</v>
      </c>
      <c r="L3" s="16" t="s">
        <v>24</v>
      </c>
      <c r="M3" s="31">
        <v>100439</v>
      </c>
      <c r="N3" s="16" t="s">
        <v>25</v>
      </c>
      <c r="O3" s="18" t="s">
        <v>26</v>
      </c>
      <c r="P3" s="18" t="s">
        <v>27</v>
      </c>
      <c r="Q3" s="19" t="s">
        <v>28</v>
      </c>
    </row>
    <row r="4" spans="1:20" ht="30" customHeight="1">
      <c r="A4" s="15" t="s">
        <v>29</v>
      </c>
      <c r="B4" s="24" t="s">
        <v>30</v>
      </c>
      <c r="C4" s="20" t="s">
        <v>31</v>
      </c>
      <c r="D4" s="16" t="s">
        <v>1440</v>
      </c>
      <c r="E4" s="16" t="s">
        <v>32</v>
      </c>
      <c r="F4" s="21" t="s">
        <v>30</v>
      </c>
      <c r="G4" s="21" t="s">
        <v>30</v>
      </c>
      <c r="H4" s="21" t="s">
        <v>30</v>
      </c>
      <c r="I4" s="92" t="str">
        <f t="shared" si="0"/>
        <v>N/A</v>
      </c>
      <c r="J4" s="16" t="s">
        <v>33</v>
      </c>
      <c r="K4" s="20">
        <v>2014</v>
      </c>
      <c r="L4" s="20" t="s">
        <v>34</v>
      </c>
      <c r="M4" s="32" t="s">
        <v>35</v>
      </c>
      <c r="N4" s="16" t="s">
        <v>36</v>
      </c>
      <c r="O4" s="18" t="s">
        <v>26</v>
      </c>
      <c r="P4" s="18" t="s">
        <v>37</v>
      </c>
      <c r="Q4" s="19" t="s">
        <v>28</v>
      </c>
    </row>
    <row r="5" spans="1:20" ht="30" customHeight="1">
      <c r="A5" s="15" t="s">
        <v>38</v>
      </c>
      <c r="B5" s="24" t="s">
        <v>39</v>
      </c>
      <c r="C5" s="20" t="s">
        <v>40</v>
      </c>
      <c r="D5" s="16" t="s">
        <v>1440</v>
      </c>
      <c r="E5" s="16" t="s">
        <v>32</v>
      </c>
      <c r="F5" s="21" t="s">
        <v>30</v>
      </c>
      <c r="G5" s="21" t="s">
        <v>30</v>
      </c>
      <c r="H5" s="21" t="s">
        <v>30</v>
      </c>
      <c r="I5" s="92" t="str">
        <f t="shared" si="0"/>
        <v>N/A</v>
      </c>
      <c r="J5" s="16" t="s">
        <v>41</v>
      </c>
      <c r="K5" s="16">
        <v>2014</v>
      </c>
      <c r="L5" s="16" t="s">
        <v>42</v>
      </c>
      <c r="M5" s="31" t="s">
        <v>43</v>
      </c>
      <c r="N5" s="16" t="s">
        <v>36</v>
      </c>
      <c r="O5" s="18" t="s">
        <v>26</v>
      </c>
      <c r="P5" s="18" t="s">
        <v>37</v>
      </c>
      <c r="Q5" s="19" t="s">
        <v>28</v>
      </c>
    </row>
    <row r="6" spans="1:20" ht="30" customHeight="1">
      <c r="A6" s="15" t="s">
        <v>44</v>
      </c>
      <c r="B6" s="24" t="s">
        <v>45</v>
      </c>
      <c r="C6" s="16" t="s">
        <v>46</v>
      </c>
      <c r="D6" s="16" t="s">
        <v>1440</v>
      </c>
      <c r="E6" s="16" t="s">
        <v>20</v>
      </c>
      <c r="F6" s="93" t="s">
        <v>47</v>
      </c>
      <c r="G6" s="22" t="s">
        <v>22</v>
      </c>
      <c r="H6" s="22">
        <v>24</v>
      </c>
      <c r="I6" s="92">
        <f t="shared" si="0"/>
        <v>46233</v>
      </c>
      <c r="J6" s="16" t="s">
        <v>48</v>
      </c>
      <c r="K6" s="16">
        <v>2014</v>
      </c>
      <c r="L6" s="16" t="s">
        <v>49</v>
      </c>
      <c r="M6" s="31" t="s">
        <v>50</v>
      </c>
      <c r="N6" s="16" t="s">
        <v>51</v>
      </c>
      <c r="O6" s="18" t="s">
        <v>26</v>
      </c>
      <c r="P6" s="18" t="s">
        <v>27</v>
      </c>
      <c r="Q6" s="19" t="s">
        <v>28</v>
      </c>
    </row>
    <row r="7" spans="1:20" ht="30" customHeight="1">
      <c r="A7" s="15" t="s">
        <v>52</v>
      </c>
      <c r="B7" s="24" t="s">
        <v>53</v>
      </c>
      <c r="C7" s="24" t="s">
        <v>54</v>
      </c>
      <c r="D7" s="16" t="s">
        <v>1440</v>
      </c>
      <c r="E7" s="16" t="s">
        <v>20</v>
      </c>
      <c r="F7" s="91">
        <v>45490</v>
      </c>
      <c r="G7" s="22" t="s">
        <v>55</v>
      </c>
      <c r="H7" s="22">
        <v>24</v>
      </c>
      <c r="I7" s="92">
        <f t="shared" si="0"/>
        <v>46220</v>
      </c>
      <c r="J7" s="24" t="s">
        <v>56</v>
      </c>
      <c r="K7" s="16">
        <v>2014</v>
      </c>
      <c r="L7" s="24">
        <v>3115</v>
      </c>
      <c r="M7" s="33" t="s">
        <v>57</v>
      </c>
      <c r="N7" s="16" t="s">
        <v>58</v>
      </c>
      <c r="O7" s="18" t="s">
        <v>26</v>
      </c>
      <c r="P7" s="18" t="s">
        <v>27</v>
      </c>
      <c r="Q7" s="19" t="s">
        <v>28</v>
      </c>
    </row>
    <row r="8" spans="1:20" ht="30" customHeight="1">
      <c r="A8" s="15" t="s">
        <v>59</v>
      </c>
      <c r="B8" s="24" t="s">
        <v>60</v>
      </c>
      <c r="C8" s="24" t="s">
        <v>54</v>
      </c>
      <c r="D8" s="16" t="s">
        <v>1440</v>
      </c>
      <c r="E8" s="16" t="s">
        <v>20</v>
      </c>
      <c r="F8" s="91">
        <v>45496</v>
      </c>
      <c r="G8" s="22" t="s">
        <v>22</v>
      </c>
      <c r="H8" s="22">
        <v>24</v>
      </c>
      <c r="I8" s="92">
        <f t="shared" si="0"/>
        <v>46226</v>
      </c>
      <c r="J8" s="24" t="s">
        <v>56</v>
      </c>
      <c r="K8" s="16">
        <v>2014</v>
      </c>
      <c r="L8" s="24" t="s">
        <v>61</v>
      </c>
      <c r="M8" s="33" t="s">
        <v>62</v>
      </c>
      <c r="N8" s="16" t="s">
        <v>63</v>
      </c>
      <c r="O8" s="18" t="s">
        <v>26</v>
      </c>
      <c r="P8" s="18" t="s">
        <v>27</v>
      </c>
      <c r="Q8" s="19" t="s">
        <v>28</v>
      </c>
    </row>
    <row r="9" spans="1:20" ht="30" customHeight="1">
      <c r="A9" s="15" t="s">
        <v>64</v>
      </c>
      <c r="B9" s="24" t="s">
        <v>65</v>
      </c>
      <c r="C9" s="24" t="s">
        <v>66</v>
      </c>
      <c r="D9" s="16" t="s">
        <v>1440</v>
      </c>
      <c r="E9" s="16" t="s">
        <v>20</v>
      </c>
      <c r="F9" s="91">
        <v>45495</v>
      </c>
      <c r="G9" s="22" t="s">
        <v>22</v>
      </c>
      <c r="H9" s="22">
        <v>12</v>
      </c>
      <c r="I9" s="92">
        <f t="shared" si="0"/>
        <v>45860</v>
      </c>
      <c r="J9" s="25" t="s">
        <v>67</v>
      </c>
      <c r="K9" s="16">
        <v>2014</v>
      </c>
      <c r="L9" s="25" t="s">
        <v>68</v>
      </c>
      <c r="M9" s="34" t="s">
        <v>69</v>
      </c>
      <c r="N9" s="16" t="s">
        <v>70</v>
      </c>
      <c r="O9" s="18" t="s">
        <v>26</v>
      </c>
      <c r="P9" s="18" t="s">
        <v>27</v>
      </c>
      <c r="Q9" s="19" t="s">
        <v>28</v>
      </c>
    </row>
    <row r="10" spans="1:20" ht="30" customHeight="1">
      <c r="A10" s="15" t="s">
        <v>71</v>
      </c>
      <c r="B10" s="24" t="s">
        <v>30</v>
      </c>
      <c r="C10" s="25" t="s">
        <v>72</v>
      </c>
      <c r="D10" s="16" t="s">
        <v>1440</v>
      </c>
      <c r="E10" s="16" t="s">
        <v>32</v>
      </c>
      <c r="F10" s="21" t="s">
        <v>30</v>
      </c>
      <c r="G10" s="21" t="s">
        <v>30</v>
      </c>
      <c r="H10" s="21" t="s">
        <v>30</v>
      </c>
      <c r="I10" s="92" t="str">
        <f t="shared" si="0"/>
        <v>N/A</v>
      </c>
      <c r="J10" s="26" t="s">
        <v>41</v>
      </c>
      <c r="K10" s="16">
        <v>2014</v>
      </c>
      <c r="L10" s="25" t="s">
        <v>73</v>
      </c>
      <c r="M10" s="34" t="s">
        <v>36</v>
      </c>
      <c r="N10" s="16" t="s">
        <v>36</v>
      </c>
      <c r="O10" s="18" t="s">
        <v>26</v>
      </c>
      <c r="P10" s="18" t="s">
        <v>37</v>
      </c>
      <c r="Q10" s="19" t="s">
        <v>28</v>
      </c>
    </row>
    <row r="11" spans="1:20" ht="30" customHeight="1">
      <c r="A11" s="15" t="s">
        <v>74</v>
      </c>
      <c r="B11" s="24" t="s">
        <v>30</v>
      </c>
      <c r="C11" s="25" t="s">
        <v>75</v>
      </c>
      <c r="D11" s="16" t="s">
        <v>1440</v>
      </c>
      <c r="E11" s="16" t="s">
        <v>32</v>
      </c>
      <c r="F11" s="21" t="s">
        <v>30</v>
      </c>
      <c r="G11" s="21" t="s">
        <v>30</v>
      </c>
      <c r="H11" s="21" t="s">
        <v>30</v>
      </c>
      <c r="I11" s="92" t="str">
        <f t="shared" si="0"/>
        <v>N/A</v>
      </c>
      <c r="J11" s="26" t="s">
        <v>41</v>
      </c>
      <c r="K11" s="16">
        <v>2014</v>
      </c>
      <c r="L11" s="25" t="s">
        <v>76</v>
      </c>
      <c r="M11" s="34" t="s">
        <v>36</v>
      </c>
      <c r="N11" s="16" t="s">
        <v>36</v>
      </c>
      <c r="O11" s="18" t="s">
        <v>26</v>
      </c>
      <c r="P11" s="18" t="s">
        <v>37</v>
      </c>
      <c r="Q11" s="19" t="s">
        <v>28</v>
      </c>
    </row>
    <row r="12" spans="1:20" ht="30" customHeight="1">
      <c r="A12" s="15" t="s">
        <v>77</v>
      </c>
      <c r="B12" s="24" t="s">
        <v>30</v>
      </c>
      <c r="C12" s="25" t="s">
        <v>78</v>
      </c>
      <c r="D12" s="16" t="s">
        <v>1440</v>
      </c>
      <c r="E12" s="16" t="s">
        <v>32</v>
      </c>
      <c r="F12" s="21" t="s">
        <v>30</v>
      </c>
      <c r="G12" s="21" t="s">
        <v>30</v>
      </c>
      <c r="H12" s="21" t="s">
        <v>30</v>
      </c>
      <c r="I12" s="92" t="str">
        <f t="shared" si="0"/>
        <v>N/A</v>
      </c>
      <c r="J12" s="26" t="s">
        <v>41</v>
      </c>
      <c r="K12" s="16">
        <v>2014</v>
      </c>
      <c r="L12" s="25" t="s">
        <v>79</v>
      </c>
      <c r="M12" s="34" t="s">
        <v>36</v>
      </c>
      <c r="N12" s="16" t="s">
        <v>36</v>
      </c>
      <c r="O12" s="18" t="s">
        <v>26</v>
      </c>
      <c r="P12" s="18" t="s">
        <v>37</v>
      </c>
      <c r="Q12" s="19" t="s">
        <v>28</v>
      </c>
    </row>
    <row r="13" spans="1:20" ht="30" customHeight="1">
      <c r="A13" s="15" t="s">
        <v>80</v>
      </c>
      <c r="B13" s="24" t="s">
        <v>81</v>
      </c>
      <c r="C13" s="25" t="s">
        <v>78</v>
      </c>
      <c r="D13" s="16" t="s">
        <v>1440</v>
      </c>
      <c r="E13" s="16" t="s">
        <v>32</v>
      </c>
      <c r="F13" s="21" t="s">
        <v>30</v>
      </c>
      <c r="G13" s="21" t="s">
        <v>30</v>
      </c>
      <c r="H13" s="21" t="s">
        <v>30</v>
      </c>
      <c r="I13" s="92" t="str">
        <f t="shared" si="0"/>
        <v>N/A</v>
      </c>
      <c r="J13" s="26" t="s">
        <v>41</v>
      </c>
      <c r="K13" s="16">
        <v>2014</v>
      </c>
      <c r="L13" s="27" t="s">
        <v>82</v>
      </c>
      <c r="M13" s="34" t="s">
        <v>36</v>
      </c>
      <c r="N13" s="16" t="s">
        <v>36</v>
      </c>
      <c r="O13" s="18" t="s">
        <v>26</v>
      </c>
      <c r="P13" s="18" t="s">
        <v>37</v>
      </c>
      <c r="Q13" s="19" t="s">
        <v>28</v>
      </c>
    </row>
    <row r="14" spans="1:20" ht="30" customHeight="1">
      <c r="A14" s="15" t="s">
        <v>83</v>
      </c>
      <c r="B14" s="24" t="s">
        <v>30</v>
      </c>
      <c r="C14" s="25" t="s">
        <v>84</v>
      </c>
      <c r="D14" s="16" t="s">
        <v>1440</v>
      </c>
      <c r="E14" s="25" t="s">
        <v>20</v>
      </c>
      <c r="F14" s="91" t="s">
        <v>85</v>
      </c>
      <c r="G14" s="22" t="s">
        <v>22</v>
      </c>
      <c r="H14" s="22">
        <v>12</v>
      </c>
      <c r="I14" s="92">
        <f t="shared" si="0"/>
        <v>45860</v>
      </c>
      <c r="J14" s="25" t="s">
        <v>86</v>
      </c>
      <c r="K14" s="25">
        <v>2014</v>
      </c>
      <c r="L14" s="25" t="s">
        <v>87</v>
      </c>
      <c r="M14" s="34" t="s">
        <v>88</v>
      </c>
      <c r="N14" s="16" t="s">
        <v>89</v>
      </c>
      <c r="O14" s="18" t="s">
        <v>90</v>
      </c>
      <c r="P14" s="18" t="s">
        <v>27</v>
      </c>
      <c r="Q14" s="19" t="s">
        <v>28</v>
      </c>
    </row>
    <row r="15" spans="1:20" ht="30" customHeight="1">
      <c r="A15" s="15" t="s">
        <v>91</v>
      </c>
      <c r="B15" s="24" t="s">
        <v>30</v>
      </c>
      <c r="C15" s="25" t="s">
        <v>84</v>
      </c>
      <c r="D15" s="16" t="s">
        <v>1440</v>
      </c>
      <c r="E15" s="25" t="s">
        <v>20</v>
      </c>
      <c r="F15" s="91" t="s">
        <v>85</v>
      </c>
      <c r="G15" s="22" t="s">
        <v>22</v>
      </c>
      <c r="H15" s="22">
        <v>12</v>
      </c>
      <c r="I15" s="92">
        <f t="shared" si="0"/>
        <v>45860</v>
      </c>
      <c r="J15" s="25" t="s">
        <v>86</v>
      </c>
      <c r="K15" s="16">
        <v>2014</v>
      </c>
      <c r="L15" s="25" t="s">
        <v>92</v>
      </c>
      <c r="M15" s="34" t="s">
        <v>93</v>
      </c>
      <c r="N15" s="16" t="s">
        <v>94</v>
      </c>
      <c r="O15" s="18" t="s">
        <v>90</v>
      </c>
      <c r="P15" s="18" t="s">
        <v>27</v>
      </c>
      <c r="Q15" s="19" t="s">
        <v>28</v>
      </c>
    </row>
    <row r="16" spans="1:20" ht="30" customHeight="1">
      <c r="A16" s="15" t="s">
        <v>95</v>
      </c>
      <c r="B16" s="24" t="s">
        <v>30</v>
      </c>
      <c r="C16" s="25" t="s">
        <v>84</v>
      </c>
      <c r="D16" s="16" t="s">
        <v>1440</v>
      </c>
      <c r="E16" s="25" t="s">
        <v>20</v>
      </c>
      <c r="F16" s="91" t="s">
        <v>85</v>
      </c>
      <c r="G16" s="22" t="s">
        <v>22</v>
      </c>
      <c r="H16" s="22">
        <v>12</v>
      </c>
      <c r="I16" s="92">
        <f t="shared" si="0"/>
        <v>45860</v>
      </c>
      <c r="J16" s="25" t="s">
        <v>86</v>
      </c>
      <c r="K16" s="16">
        <v>2014</v>
      </c>
      <c r="L16" s="25" t="s">
        <v>96</v>
      </c>
      <c r="M16" s="34" t="s">
        <v>88</v>
      </c>
      <c r="N16" s="16" t="s">
        <v>97</v>
      </c>
      <c r="O16" s="18" t="s">
        <v>90</v>
      </c>
      <c r="P16" s="18" t="s">
        <v>27</v>
      </c>
      <c r="Q16" s="19" t="s">
        <v>28</v>
      </c>
    </row>
    <row r="17" spans="1:20" ht="30" customHeight="1">
      <c r="A17" s="15" t="s">
        <v>98</v>
      </c>
      <c r="B17" s="24" t="s">
        <v>30</v>
      </c>
      <c r="C17" s="25" t="s">
        <v>99</v>
      </c>
      <c r="D17" s="16" t="s">
        <v>1440</v>
      </c>
      <c r="E17" s="16" t="s">
        <v>32</v>
      </c>
      <c r="F17" s="21" t="s">
        <v>30</v>
      </c>
      <c r="G17" s="21" t="s">
        <v>30</v>
      </c>
      <c r="H17" s="21" t="s">
        <v>30</v>
      </c>
      <c r="I17" s="92" t="str">
        <f t="shared" si="0"/>
        <v>N/A</v>
      </c>
      <c r="J17" s="25" t="s">
        <v>23</v>
      </c>
      <c r="K17" s="16">
        <v>2014</v>
      </c>
      <c r="L17" s="16" t="s">
        <v>100</v>
      </c>
      <c r="M17" s="31" t="s">
        <v>36</v>
      </c>
      <c r="N17" s="16" t="s">
        <v>101</v>
      </c>
      <c r="O17" s="18" t="s">
        <v>26</v>
      </c>
      <c r="P17" s="18" t="s">
        <v>27</v>
      </c>
      <c r="Q17" s="19" t="s">
        <v>28</v>
      </c>
    </row>
    <row r="18" spans="1:20" ht="30" customHeight="1">
      <c r="A18" s="15" t="s">
        <v>102</v>
      </c>
      <c r="B18" s="24" t="s">
        <v>103</v>
      </c>
      <c r="C18" s="25" t="s">
        <v>104</v>
      </c>
      <c r="D18" s="16" t="s">
        <v>1440</v>
      </c>
      <c r="E18" s="25" t="s">
        <v>20</v>
      </c>
      <c r="F18" s="91" t="s">
        <v>105</v>
      </c>
      <c r="G18" s="22" t="s">
        <v>22</v>
      </c>
      <c r="H18" s="22">
        <v>12</v>
      </c>
      <c r="I18" s="92">
        <f t="shared" si="0"/>
        <v>45862</v>
      </c>
      <c r="J18" s="25" t="s">
        <v>106</v>
      </c>
      <c r="K18" s="16">
        <v>2014</v>
      </c>
      <c r="L18" s="16" t="s">
        <v>107</v>
      </c>
      <c r="M18" s="31" t="s">
        <v>108</v>
      </c>
      <c r="N18" s="16" t="s">
        <v>109</v>
      </c>
      <c r="O18" s="18" t="s">
        <v>110</v>
      </c>
      <c r="P18" s="18" t="s">
        <v>27</v>
      </c>
      <c r="Q18" s="19" t="s">
        <v>28</v>
      </c>
    </row>
    <row r="19" spans="1:20" ht="30" customHeight="1">
      <c r="A19" s="15" t="s">
        <v>111</v>
      </c>
      <c r="B19" s="24" t="s">
        <v>112</v>
      </c>
      <c r="C19" s="25" t="s">
        <v>113</v>
      </c>
      <c r="D19" s="16" t="s">
        <v>1440</v>
      </c>
      <c r="E19" s="25" t="s">
        <v>20</v>
      </c>
      <c r="F19" s="91">
        <v>45176</v>
      </c>
      <c r="G19" s="22" t="s">
        <v>22</v>
      </c>
      <c r="H19" s="22">
        <v>24</v>
      </c>
      <c r="I19" s="92">
        <f t="shared" si="0"/>
        <v>45907</v>
      </c>
      <c r="J19" s="25" t="s">
        <v>23</v>
      </c>
      <c r="K19" s="25">
        <v>2014</v>
      </c>
      <c r="L19" s="16" t="s">
        <v>114</v>
      </c>
      <c r="M19" s="31" t="s">
        <v>115</v>
      </c>
      <c r="N19" s="16" t="s">
        <v>116</v>
      </c>
      <c r="O19" s="18" t="s">
        <v>26</v>
      </c>
      <c r="P19" s="18" t="s">
        <v>27</v>
      </c>
      <c r="Q19" s="19" t="s">
        <v>28</v>
      </c>
    </row>
    <row r="20" spans="1:20" ht="30" customHeight="1">
      <c r="A20" s="15" t="s">
        <v>117</v>
      </c>
      <c r="B20" s="24" t="s">
        <v>118</v>
      </c>
      <c r="C20" s="25" t="s">
        <v>46</v>
      </c>
      <c r="D20" s="16" t="s">
        <v>1440</v>
      </c>
      <c r="E20" s="25" t="s">
        <v>20</v>
      </c>
      <c r="F20" s="93">
        <v>45516</v>
      </c>
      <c r="G20" s="22" t="s">
        <v>22</v>
      </c>
      <c r="H20" s="28">
        <v>24</v>
      </c>
      <c r="I20" s="92">
        <f t="shared" si="0"/>
        <v>46246</v>
      </c>
      <c r="J20" s="25" t="s">
        <v>48</v>
      </c>
      <c r="K20" s="25">
        <v>2014</v>
      </c>
      <c r="L20" s="16" t="s">
        <v>49</v>
      </c>
      <c r="M20" s="31">
        <v>749</v>
      </c>
      <c r="N20" s="16" t="s">
        <v>119</v>
      </c>
      <c r="O20" s="18" t="s">
        <v>90</v>
      </c>
      <c r="P20" s="18" t="s">
        <v>27</v>
      </c>
      <c r="Q20" s="19" t="s">
        <v>28</v>
      </c>
    </row>
    <row r="21" spans="1:20" ht="30" customHeight="1">
      <c r="A21" s="15" t="s">
        <v>120</v>
      </c>
      <c r="B21" s="24" t="s">
        <v>121</v>
      </c>
      <c r="C21" s="16" t="s">
        <v>66</v>
      </c>
      <c r="D21" s="16" t="s">
        <v>1440</v>
      </c>
      <c r="E21" s="25" t="s">
        <v>20</v>
      </c>
      <c r="F21" s="91" t="s">
        <v>105</v>
      </c>
      <c r="G21" s="22" t="s">
        <v>22</v>
      </c>
      <c r="H21" s="22">
        <v>12</v>
      </c>
      <c r="I21" s="92">
        <f t="shared" si="0"/>
        <v>45862</v>
      </c>
      <c r="J21" s="16" t="s">
        <v>56</v>
      </c>
      <c r="K21" s="25">
        <v>2014</v>
      </c>
      <c r="L21" s="16" t="s">
        <v>122</v>
      </c>
      <c r="M21" s="31" t="s">
        <v>123</v>
      </c>
      <c r="N21" s="16" t="s">
        <v>58</v>
      </c>
      <c r="O21" s="18" t="s">
        <v>26</v>
      </c>
      <c r="P21" s="18" t="s">
        <v>27</v>
      </c>
      <c r="Q21" s="19" t="s">
        <v>28</v>
      </c>
    </row>
    <row r="22" spans="1:20" ht="30" customHeight="1">
      <c r="A22" s="15" t="s">
        <v>124</v>
      </c>
      <c r="B22" s="24" t="s">
        <v>125</v>
      </c>
      <c r="C22" s="16" t="s">
        <v>66</v>
      </c>
      <c r="D22" s="16" t="s">
        <v>1440</v>
      </c>
      <c r="E22" s="25" t="s">
        <v>20</v>
      </c>
      <c r="F22" s="93" t="s">
        <v>126</v>
      </c>
      <c r="G22" s="22" t="s">
        <v>22</v>
      </c>
      <c r="H22" s="22">
        <v>12</v>
      </c>
      <c r="I22" s="92">
        <f t="shared" si="0"/>
        <v>45863</v>
      </c>
      <c r="J22" s="25" t="s">
        <v>56</v>
      </c>
      <c r="K22" s="25">
        <v>2014</v>
      </c>
      <c r="L22" s="16" t="s">
        <v>127</v>
      </c>
      <c r="M22" s="31" t="s">
        <v>128</v>
      </c>
      <c r="N22" s="16" t="s">
        <v>63</v>
      </c>
      <c r="O22" s="18" t="s">
        <v>26</v>
      </c>
      <c r="P22" s="18" t="s">
        <v>27</v>
      </c>
      <c r="Q22" s="19" t="s">
        <v>28</v>
      </c>
    </row>
    <row r="23" spans="1:20" ht="30" customHeight="1">
      <c r="A23" s="15" t="s">
        <v>129</v>
      </c>
      <c r="B23" s="24" t="s">
        <v>30</v>
      </c>
      <c r="C23" s="24" t="s">
        <v>130</v>
      </c>
      <c r="D23" s="16" t="s">
        <v>1440</v>
      </c>
      <c r="E23" s="25" t="s">
        <v>20</v>
      </c>
      <c r="F23" s="91" t="s">
        <v>105</v>
      </c>
      <c r="G23" s="22" t="s">
        <v>22</v>
      </c>
      <c r="H23" s="22">
        <v>12</v>
      </c>
      <c r="I23" s="92">
        <f t="shared" si="0"/>
        <v>45862</v>
      </c>
      <c r="J23" s="24" t="s">
        <v>131</v>
      </c>
      <c r="K23" s="25">
        <v>2014</v>
      </c>
      <c r="L23" s="24" t="s">
        <v>132</v>
      </c>
      <c r="M23" s="33" t="s">
        <v>133</v>
      </c>
      <c r="N23" s="16" t="s">
        <v>134</v>
      </c>
      <c r="O23" s="18" t="s">
        <v>26</v>
      </c>
      <c r="P23" s="18" t="s">
        <v>27</v>
      </c>
      <c r="Q23" s="19" t="s">
        <v>28</v>
      </c>
    </row>
    <row r="24" spans="1:20" ht="30" customHeight="1">
      <c r="A24" s="15" t="s">
        <v>135</v>
      </c>
      <c r="B24" s="24" t="s">
        <v>30</v>
      </c>
      <c r="C24" s="18" t="s">
        <v>130</v>
      </c>
      <c r="D24" s="16" t="s">
        <v>1440</v>
      </c>
      <c r="E24" s="25" t="s">
        <v>20</v>
      </c>
      <c r="F24" s="91" t="s">
        <v>105</v>
      </c>
      <c r="G24" s="22" t="s">
        <v>22</v>
      </c>
      <c r="H24" s="22">
        <v>12</v>
      </c>
      <c r="I24" s="92">
        <f t="shared" si="0"/>
        <v>45862</v>
      </c>
      <c r="J24" s="25" t="s">
        <v>131</v>
      </c>
      <c r="K24" s="25">
        <v>2014</v>
      </c>
      <c r="L24" s="18" t="s">
        <v>132</v>
      </c>
      <c r="M24" s="35" t="s">
        <v>136</v>
      </c>
      <c r="N24" s="16" t="s">
        <v>134</v>
      </c>
      <c r="O24" s="18" t="s">
        <v>90</v>
      </c>
      <c r="P24" s="18" t="s">
        <v>27</v>
      </c>
      <c r="Q24" s="19" t="s">
        <v>28</v>
      </c>
    </row>
    <row r="25" spans="1:20" ht="30" customHeight="1">
      <c r="A25" s="15" t="s">
        <v>137</v>
      </c>
      <c r="B25" s="24" t="s">
        <v>138</v>
      </c>
      <c r="C25" s="18" t="s">
        <v>139</v>
      </c>
      <c r="D25" s="16" t="s">
        <v>1440</v>
      </c>
      <c r="E25" s="16" t="s">
        <v>32</v>
      </c>
      <c r="F25" s="23" t="s">
        <v>30</v>
      </c>
      <c r="G25" s="23" t="s">
        <v>30</v>
      </c>
      <c r="H25" s="23" t="s">
        <v>30</v>
      </c>
      <c r="I25" s="92" t="str">
        <f t="shared" si="0"/>
        <v>N/A</v>
      </c>
      <c r="J25" s="25" t="s">
        <v>140</v>
      </c>
      <c r="K25" s="25">
        <v>2014</v>
      </c>
      <c r="L25" s="18" t="s">
        <v>141</v>
      </c>
      <c r="M25" s="35" t="s">
        <v>36</v>
      </c>
      <c r="N25" s="16" t="s">
        <v>142</v>
      </c>
      <c r="O25" s="18" t="s">
        <v>26</v>
      </c>
      <c r="P25" s="18" t="s">
        <v>37</v>
      </c>
      <c r="Q25" s="19" t="s">
        <v>28</v>
      </c>
    </row>
    <row r="26" spans="1:20" ht="30" customHeight="1">
      <c r="A26" s="15" t="s">
        <v>143</v>
      </c>
      <c r="B26" s="24" t="s">
        <v>144</v>
      </c>
      <c r="C26" s="18" t="s">
        <v>145</v>
      </c>
      <c r="D26" s="16" t="s">
        <v>1440</v>
      </c>
      <c r="E26" s="16" t="s">
        <v>146</v>
      </c>
      <c r="F26" s="23" t="s">
        <v>30</v>
      </c>
      <c r="G26" s="22" t="s">
        <v>30</v>
      </c>
      <c r="H26" s="22" t="s">
        <v>30</v>
      </c>
      <c r="I26" s="92" t="str">
        <f t="shared" si="0"/>
        <v>N/A</v>
      </c>
      <c r="J26" s="25" t="s">
        <v>145</v>
      </c>
      <c r="K26" s="25">
        <v>2014</v>
      </c>
      <c r="L26" s="18" t="s">
        <v>147</v>
      </c>
      <c r="M26" s="36">
        <v>311243</v>
      </c>
      <c r="N26" s="16" t="s">
        <v>148</v>
      </c>
      <c r="O26" s="18" t="s">
        <v>149</v>
      </c>
      <c r="P26" s="18" t="s">
        <v>37</v>
      </c>
      <c r="Q26" s="19" t="s">
        <v>28</v>
      </c>
    </row>
    <row r="27" spans="1:20" ht="30" customHeight="1">
      <c r="A27" s="15" t="s">
        <v>150</v>
      </c>
      <c r="B27" s="24">
        <v>331022</v>
      </c>
      <c r="C27" s="18" t="s">
        <v>145</v>
      </c>
      <c r="D27" s="16" t="s">
        <v>1440</v>
      </c>
      <c r="E27" s="16" t="s">
        <v>146</v>
      </c>
      <c r="F27" s="23" t="s">
        <v>30</v>
      </c>
      <c r="G27" s="22" t="s">
        <v>30</v>
      </c>
      <c r="H27" s="22" t="s">
        <v>30</v>
      </c>
      <c r="I27" s="92" t="str">
        <f t="shared" si="0"/>
        <v>N/A</v>
      </c>
      <c r="J27" s="25" t="s">
        <v>145</v>
      </c>
      <c r="K27" s="25">
        <v>2014</v>
      </c>
      <c r="L27" s="18" t="s">
        <v>151</v>
      </c>
      <c r="M27" s="36" t="s">
        <v>152</v>
      </c>
      <c r="N27" s="16" t="s">
        <v>153</v>
      </c>
      <c r="O27" s="18" t="s">
        <v>154</v>
      </c>
      <c r="P27" s="18" t="s">
        <v>37</v>
      </c>
      <c r="Q27" s="19" t="s">
        <v>28</v>
      </c>
    </row>
    <row r="28" spans="1:20" ht="30" customHeight="1">
      <c r="A28" s="15" t="s">
        <v>155</v>
      </c>
      <c r="B28" s="24" t="s">
        <v>156</v>
      </c>
      <c r="C28" s="39" t="s">
        <v>157</v>
      </c>
      <c r="D28" s="16" t="s">
        <v>1440</v>
      </c>
      <c r="E28" s="40" t="s">
        <v>20</v>
      </c>
      <c r="F28" s="91">
        <v>45665</v>
      </c>
      <c r="G28" s="22" t="s">
        <v>22</v>
      </c>
      <c r="H28" s="22">
        <v>24</v>
      </c>
      <c r="I28" s="92">
        <f t="shared" si="0"/>
        <v>46395</v>
      </c>
      <c r="J28" s="25" t="s">
        <v>56</v>
      </c>
      <c r="K28" s="25">
        <v>2014</v>
      </c>
      <c r="L28" s="16" t="s">
        <v>158</v>
      </c>
      <c r="M28" s="31" t="s">
        <v>159</v>
      </c>
      <c r="N28" s="16" t="s">
        <v>160</v>
      </c>
      <c r="O28" s="18" t="s">
        <v>26</v>
      </c>
      <c r="P28" s="18" t="s">
        <v>27</v>
      </c>
      <c r="Q28" s="19" t="s">
        <v>28</v>
      </c>
    </row>
    <row r="29" spans="1:20" ht="30" customHeight="1">
      <c r="A29" s="15" t="s">
        <v>161</v>
      </c>
      <c r="B29" s="24" t="s">
        <v>156</v>
      </c>
      <c r="C29" s="39" t="s">
        <v>157</v>
      </c>
      <c r="D29" s="16" t="s">
        <v>1440</v>
      </c>
      <c r="E29" s="40" t="s">
        <v>20</v>
      </c>
      <c r="F29" s="91">
        <v>45665</v>
      </c>
      <c r="G29" s="22" t="s">
        <v>22</v>
      </c>
      <c r="H29" s="22">
        <v>24</v>
      </c>
      <c r="I29" s="92">
        <f t="shared" si="0"/>
        <v>46395</v>
      </c>
      <c r="J29" s="25" t="s">
        <v>56</v>
      </c>
      <c r="K29" s="25">
        <v>2014</v>
      </c>
      <c r="L29" s="16" t="s">
        <v>162</v>
      </c>
      <c r="M29" s="31" t="s">
        <v>163</v>
      </c>
      <c r="N29" s="16" t="s">
        <v>164</v>
      </c>
      <c r="O29" s="18" t="s">
        <v>26</v>
      </c>
      <c r="P29" s="18" t="s">
        <v>27</v>
      </c>
      <c r="Q29" s="19" t="s">
        <v>28</v>
      </c>
    </row>
    <row r="30" spans="1:20" ht="30" customHeight="1">
      <c r="A30" s="15" t="s">
        <v>165</v>
      </c>
      <c r="B30" s="24" t="s">
        <v>156</v>
      </c>
      <c r="C30" s="39" t="s">
        <v>157</v>
      </c>
      <c r="D30" s="16" t="s">
        <v>1440</v>
      </c>
      <c r="E30" s="40" t="s">
        <v>20</v>
      </c>
      <c r="F30" s="91">
        <v>45665</v>
      </c>
      <c r="G30" s="22" t="s">
        <v>22</v>
      </c>
      <c r="H30" s="22">
        <v>24</v>
      </c>
      <c r="I30" s="92">
        <f t="shared" si="0"/>
        <v>46395</v>
      </c>
      <c r="J30" s="16" t="s">
        <v>56</v>
      </c>
      <c r="K30" s="25">
        <v>2014</v>
      </c>
      <c r="L30" s="16" t="s">
        <v>166</v>
      </c>
      <c r="M30" s="31" t="s">
        <v>167</v>
      </c>
      <c r="N30" s="16" t="s">
        <v>168</v>
      </c>
      <c r="O30" s="18" t="s">
        <v>26</v>
      </c>
      <c r="P30" s="18" t="s">
        <v>27</v>
      </c>
      <c r="Q30" s="19" t="s">
        <v>28</v>
      </c>
      <c r="T30" s="6" t="s">
        <v>169</v>
      </c>
    </row>
    <row r="31" spans="1:20" ht="30" customHeight="1">
      <c r="A31" s="15" t="s">
        <v>170</v>
      </c>
      <c r="B31" s="24" t="s">
        <v>156</v>
      </c>
      <c r="C31" s="39" t="s">
        <v>157</v>
      </c>
      <c r="D31" s="16" t="s">
        <v>1440</v>
      </c>
      <c r="E31" s="40" t="s">
        <v>20</v>
      </c>
      <c r="F31" s="91">
        <v>45665</v>
      </c>
      <c r="G31" s="22" t="s">
        <v>22</v>
      </c>
      <c r="H31" s="22">
        <v>24</v>
      </c>
      <c r="I31" s="92">
        <f t="shared" si="0"/>
        <v>46395</v>
      </c>
      <c r="J31" s="16" t="s">
        <v>56</v>
      </c>
      <c r="K31" s="25">
        <v>2014</v>
      </c>
      <c r="L31" s="16" t="s">
        <v>171</v>
      </c>
      <c r="M31" s="31" t="s">
        <v>172</v>
      </c>
      <c r="N31" s="16" t="s">
        <v>173</v>
      </c>
      <c r="O31" s="18" t="s">
        <v>26</v>
      </c>
      <c r="P31" s="18" t="s">
        <v>27</v>
      </c>
      <c r="Q31" s="19" t="s">
        <v>28</v>
      </c>
    </row>
    <row r="32" spans="1:20" ht="30" customHeight="1">
      <c r="A32" s="15" t="s">
        <v>174</v>
      </c>
      <c r="B32" s="24" t="s">
        <v>175</v>
      </c>
      <c r="C32" s="16" t="s">
        <v>176</v>
      </c>
      <c r="D32" s="16" t="s">
        <v>1440</v>
      </c>
      <c r="E32" s="25" t="s">
        <v>20</v>
      </c>
      <c r="F32" s="91" t="s">
        <v>85</v>
      </c>
      <c r="G32" s="22" t="s">
        <v>22</v>
      </c>
      <c r="H32" s="22">
        <v>12</v>
      </c>
      <c r="I32" s="92">
        <f t="shared" si="0"/>
        <v>45860</v>
      </c>
      <c r="J32" s="16" t="s">
        <v>23</v>
      </c>
      <c r="K32" s="25">
        <v>2014</v>
      </c>
      <c r="L32" s="16" t="s">
        <v>177</v>
      </c>
      <c r="M32" s="31" t="s">
        <v>178</v>
      </c>
      <c r="N32" s="16" t="s">
        <v>179</v>
      </c>
      <c r="O32" s="18" t="s">
        <v>149</v>
      </c>
      <c r="P32" s="18" t="s">
        <v>27</v>
      </c>
      <c r="Q32" s="19" t="s">
        <v>28</v>
      </c>
    </row>
    <row r="33" spans="1:17" ht="30" customHeight="1">
      <c r="A33" s="15" t="s">
        <v>180</v>
      </c>
      <c r="B33" s="24" t="s">
        <v>181</v>
      </c>
      <c r="C33" s="16" t="s">
        <v>182</v>
      </c>
      <c r="D33" s="16" t="s">
        <v>1440</v>
      </c>
      <c r="E33" s="25" t="s">
        <v>20</v>
      </c>
      <c r="F33" s="91" t="s">
        <v>21</v>
      </c>
      <c r="G33" s="22" t="s">
        <v>22</v>
      </c>
      <c r="H33" s="22">
        <v>12</v>
      </c>
      <c r="I33" s="92">
        <f t="shared" si="0"/>
        <v>45861</v>
      </c>
      <c r="J33" s="16" t="s">
        <v>23</v>
      </c>
      <c r="K33" s="25">
        <v>2014</v>
      </c>
      <c r="L33" s="16" t="s">
        <v>183</v>
      </c>
      <c r="M33" s="31" t="s">
        <v>184</v>
      </c>
      <c r="N33" s="16" t="s">
        <v>185</v>
      </c>
      <c r="O33" s="18" t="s">
        <v>149</v>
      </c>
      <c r="P33" s="18" t="s">
        <v>27</v>
      </c>
      <c r="Q33" s="19" t="s">
        <v>28</v>
      </c>
    </row>
    <row r="34" spans="1:17" ht="30" customHeight="1">
      <c r="A34" s="15" t="s">
        <v>186</v>
      </c>
      <c r="B34" s="24" t="s">
        <v>187</v>
      </c>
      <c r="C34" s="16" t="s">
        <v>188</v>
      </c>
      <c r="D34" s="16" t="s">
        <v>1440</v>
      </c>
      <c r="E34" s="25" t="s">
        <v>20</v>
      </c>
      <c r="F34" s="91" t="s">
        <v>85</v>
      </c>
      <c r="G34" s="28" t="s">
        <v>22</v>
      </c>
      <c r="H34" s="28">
        <v>12</v>
      </c>
      <c r="I34" s="92">
        <f t="shared" si="0"/>
        <v>45860</v>
      </c>
      <c r="J34" s="16" t="s">
        <v>23</v>
      </c>
      <c r="K34" s="25">
        <v>2014</v>
      </c>
      <c r="L34" s="16" t="s">
        <v>189</v>
      </c>
      <c r="M34" s="31" t="s">
        <v>190</v>
      </c>
      <c r="N34" s="16" t="s">
        <v>191</v>
      </c>
      <c r="O34" s="18" t="s">
        <v>149</v>
      </c>
      <c r="P34" s="18" t="s">
        <v>27</v>
      </c>
      <c r="Q34" s="19" t="s">
        <v>28</v>
      </c>
    </row>
    <row r="35" spans="1:17" ht="30" customHeight="1">
      <c r="A35" s="15" t="s">
        <v>192</v>
      </c>
      <c r="B35" s="24" t="s">
        <v>187</v>
      </c>
      <c r="C35" s="16" t="s">
        <v>188</v>
      </c>
      <c r="D35" s="16" t="s">
        <v>1440</v>
      </c>
      <c r="E35" s="25" t="s">
        <v>20</v>
      </c>
      <c r="F35" s="91" t="s">
        <v>85</v>
      </c>
      <c r="G35" s="22" t="s">
        <v>22</v>
      </c>
      <c r="H35" s="22">
        <v>12</v>
      </c>
      <c r="I35" s="92">
        <f t="shared" si="0"/>
        <v>45860</v>
      </c>
      <c r="J35" s="16" t="s">
        <v>23</v>
      </c>
      <c r="K35" s="25">
        <v>2014</v>
      </c>
      <c r="L35" s="16" t="s">
        <v>189</v>
      </c>
      <c r="M35" s="31" t="s">
        <v>193</v>
      </c>
      <c r="N35" s="16" t="s">
        <v>191</v>
      </c>
      <c r="O35" s="18" t="s">
        <v>149</v>
      </c>
      <c r="P35" s="18" t="s">
        <v>27</v>
      </c>
      <c r="Q35" s="19" t="s">
        <v>28</v>
      </c>
    </row>
    <row r="36" spans="1:17" ht="30" customHeight="1">
      <c r="A36" s="15" t="s">
        <v>194</v>
      </c>
      <c r="B36" s="24" t="s">
        <v>30</v>
      </c>
      <c r="C36" s="18" t="s">
        <v>75</v>
      </c>
      <c r="D36" s="16" t="s">
        <v>1440</v>
      </c>
      <c r="E36" s="16" t="s">
        <v>32</v>
      </c>
      <c r="F36" s="21" t="s">
        <v>30</v>
      </c>
      <c r="G36" s="21" t="s">
        <v>30</v>
      </c>
      <c r="H36" s="21" t="s">
        <v>30</v>
      </c>
      <c r="I36" s="92" t="str">
        <f t="shared" si="0"/>
        <v>N/A</v>
      </c>
      <c r="J36" s="25" t="s">
        <v>140</v>
      </c>
      <c r="K36" s="25">
        <v>2014</v>
      </c>
      <c r="L36" s="18" t="s">
        <v>195</v>
      </c>
      <c r="M36" s="37" t="s">
        <v>36</v>
      </c>
      <c r="N36" s="16" t="s">
        <v>36</v>
      </c>
      <c r="O36" s="18" t="s">
        <v>149</v>
      </c>
      <c r="P36" s="18" t="s">
        <v>37</v>
      </c>
      <c r="Q36" s="19" t="s">
        <v>28</v>
      </c>
    </row>
    <row r="37" spans="1:17" ht="30" customHeight="1">
      <c r="A37" s="15" t="s">
        <v>196</v>
      </c>
      <c r="B37" s="24" t="s">
        <v>197</v>
      </c>
      <c r="C37" s="18" t="s">
        <v>198</v>
      </c>
      <c r="D37" s="16" t="s">
        <v>1440</v>
      </c>
      <c r="E37" s="16" t="s">
        <v>32</v>
      </c>
      <c r="F37" s="21" t="s">
        <v>30</v>
      </c>
      <c r="G37" s="21" t="s">
        <v>30</v>
      </c>
      <c r="H37" s="21" t="s">
        <v>30</v>
      </c>
      <c r="I37" s="92" t="str">
        <f t="shared" si="0"/>
        <v>N/A</v>
      </c>
      <c r="J37" s="25" t="s">
        <v>140</v>
      </c>
      <c r="K37" s="25">
        <v>2014</v>
      </c>
      <c r="L37" s="18" t="s">
        <v>199</v>
      </c>
      <c r="M37" s="37" t="s">
        <v>36</v>
      </c>
      <c r="N37" s="16" t="s">
        <v>36</v>
      </c>
      <c r="O37" s="18" t="s">
        <v>149</v>
      </c>
      <c r="P37" s="18" t="s">
        <v>37</v>
      </c>
      <c r="Q37" s="19" t="s">
        <v>28</v>
      </c>
    </row>
    <row r="38" spans="1:17" ht="30" customHeight="1">
      <c r="A38" s="15" t="s">
        <v>200</v>
      </c>
      <c r="B38" s="24" t="s">
        <v>201</v>
      </c>
      <c r="C38" s="18" t="s">
        <v>145</v>
      </c>
      <c r="D38" s="16" t="s">
        <v>1440</v>
      </c>
      <c r="E38" s="16" t="s">
        <v>146</v>
      </c>
      <c r="F38" s="23" t="s">
        <v>30</v>
      </c>
      <c r="G38" s="23" t="s">
        <v>30</v>
      </c>
      <c r="H38" s="22" t="s">
        <v>30</v>
      </c>
      <c r="I38" s="92" t="str">
        <f t="shared" si="0"/>
        <v>N/A</v>
      </c>
      <c r="J38" s="25" t="s">
        <v>202</v>
      </c>
      <c r="K38" s="25">
        <v>2014</v>
      </c>
      <c r="L38" s="18" t="s">
        <v>203</v>
      </c>
      <c r="M38" s="37" t="s">
        <v>204</v>
      </c>
      <c r="N38" s="16" t="s">
        <v>205</v>
      </c>
      <c r="O38" s="18" t="s">
        <v>26</v>
      </c>
      <c r="P38" s="18" t="s">
        <v>37</v>
      </c>
      <c r="Q38" s="19" t="s">
        <v>28</v>
      </c>
    </row>
    <row r="39" spans="1:17" ht="30" customHeight="1">
      <c r="A39" s="15" t="s">
        <v>206</v>
      </c>
      <c r="B39" s="24" t="s">
        <v>207</v>
      </c>
      <c r="C39" s="18" t="s">
        <v>208</v>
      </c>
      <c r="D39" s="16" t="s">
        <v>1440</v>
      </c>
      <c r="E39" s="25" t="s">
        <v>20</v>
      </c>
      <c r="F39" s="91" t="s">
        <v>21</v>
      </c>
      <c r="G39" s="22" t="s">
        <v>22</v>
      </c>
      <c r="H39" s="22">
        <v>12</v>
      </c>
      <c r="I39" s="92">
        <f t="shared" si="0"/>
        <v>45861</v>
      </c>
      <c r="J39" s="25" t="s">
        <v>209</v>
      </c>
      <c r="K39" s="25">
        <v>2014</v>
      </c>
      <c r="L39" s="16" t="s">
        <v>210</v>
      </c>
      <c r="M39" s="31" t="s">
        <v>211</v>
      </c>
      <c r="N39" s="16" t="s">
        <v>212</v>
      </c>
      <c r="O39" s="18" t="s">
        <v>110</v>
      </c>
      <c r="P39" s="18" t="s">
        <v>27</v>
      </c>
      <c r="Q39" s="19" t="s">
        <v>28</v>
      </c>
    </row>
    <row r="40" spans="1:17" ht="30" customHeight="1">
      <c r="A40" s="15" t="s">
        <v>213</v>
      </c>
      <c r="B40" s="24" t="s">
        <v>30</v>
      </c>
      <c r="C40" s="18" t="s">
        <v>214</v>
      </c>
      <c r="D40" s="16" t="s">
        <v>1440</v>
      </c>
      <c r="E40" s="25" t="s">
        <v>20</v>
      </c>
      <c r="F40" s="91" t="s">
        <v>21</v>
      </c>
      <c r="G40" s="22" t="s">
        <v>22</v>
      </c>
      <c r="H40" s="22">
        <v>12</v>
      </c>
      <c r="I40" s="92">
        <f t="shared" si="0"/>
        <v>45861</v>
      </c>
      <c r="J40" s="25" t="s">
        <v>215</v>
      </c>
      <c r="K40" s="25">
        <v>2014</v>
      </c>
      <c r="L40" s="16" t="s">
        <v>216</v>
      </c>
      <c r="M40" s="31" t="s">
        <v>217</v>
      </c>
      <c r="N40" s="16" t="s">
        <v>218</v>
      </c>
      <c r="O40" s="18" t="s">
        <v>26</v>
      </c>
      <c r="P40" s="18" t="s">
        <v>27</v>
      </c>
      <c r="Q40" s="19" t="s">
        <v>28</v>
      </c>
    </row>
    <row r="41" spans="1:17" ht="30" customHeight="1">
      <c r="A41" s="15" t="s">
        <v>219</v>
      </c>
      <c r="B41" s="24" t="s">
        <v>220</v>
      </c>
      <c r="C41" s="18" t="s">
        <v>221</v>
      </c>
      <c r="D41" s="16" t="s">
        <v>1440</v>
      </c>
      <c r="E41" s="25" t="s">
        <v>20</v>
      </c>
      <c r="F41" s="91" t="s">
        <v>105</v>
      </c>
      <c r="G41" s="22" t="s">
        <v>22</v>
      </c>
      <c r="H41" s="22">
        <v>12</v>
      </c>
      <c r="I41" s="92">
        <f t="shared" si="0"/>
        <v>45862</v>
      </c>
      <c r="J41" s="25" t="s">
        <v>209</v>
      </c>
      <c r="K41" s="25">
        <v>2014</v>
      </c>
      <c r="L41" s="16" t="s">
        <v>222</v>
      </c>
      <c r="M41" s="31" t="s">
        <v>223</v>
      </c>
      <c r="N41" s="16" t="s">
        <v>224</v>
      </c>
      <c r="O41" s="18" t="s">
        <v>110</v>
      </c>
      <c r="P41" s="18" t="s">
        <v>27</v>
      </c>
      <c r="Q41" s="19" t="s">
        <v>28</v>
      </c>
    </row>
    <row r="42" spans="1:17" ht="30" customHeight="1">
      <c r="A42" s="15" t="s">
        <v>225</v>
      </c>
      <c r="B42" s="24" t="s">
        <v>30</v>
      </c>
      <c r="C42" s="18" t="s">
        <v>226</v>
      </c>
      <c r="D42" s="16" t="s">
        <v>1440</v>
      </c>
      <c r="E42" s="25" t="s">
        <v>20</v>
      </c>
      <c r="F42" s="91" t="s">
        <v>105</v>
      </c>
      <c r="G42" s="22" t="s">
        <v>22</v>
      </c>
      <c r="H42" s="22">
        <v>12</v>
      </c>
      <c r="I42" s="92">
        <f t="shared" si="0"/>
        <v>45862</v>
      </c>
      <c r="J42" s="25" t="s">
        <v>227</v>
      </c>
      <c r="K42" s="25">
        <v>2014</v>
      </c>
      <c r="L42" s="16">
        <v>1850</v>
      </c>
      <c r="M42" s="31">
        <v>164428</v>
      </c>
      <c r="N42" s="16" t="s">
        <v>228</v>
      </c>
      <c r="O42" s="18" t="s">
        <v>110</v>
      </c>
      <c r="P42" s="18" t="s">
        <v>27</v>
      </c>
      <c r="Q42" s="19" t="s">
        <v>28</v>
      </c>
    </row>
    <row r="43" spans="1:17" ht="30" customHeight="1">
      <c r="A43" s="15" t="s">
        <v>229</v>
      </c>
      <c r="B43" s="24" t="s">
        <v>30</v>
      </c>
      <c r="C43" s="16" t="s">
        <v>214</v>
      </c>
      <c r="D43" s="16" t="s">
        <v>1440</v>
      </c>
      <c r="E43" s="25" t="s">
        <v>20</v>
      </c>
      <c r="F43" s="91" t="s">
        <v>21</v>
      </c>
      <c r="G43" s="22" t="s">
        <v>22</v>
      </c>
      <c r="H43" s="22">
        <v>12</v>
      </c>
      <c r="I43" s="92">
        <f t="shared" si="0"/>
        <v>45861</v>
      </c>
      <c r="J43" s="25" t="s">
        <v>215</v>
      </c>
      <c r="K43" s="25">
        <v>2014</v>
      </c>
      <c r="L43" s="16" t="s">
        <v>216</v>
      </c>
      <c r="M43" s="31" t="s">
        <v>230</v>
      </c>
      <c r="N43" s="16" t="s">
        <v>231</v>
      </c>
      <c r="O43" s="18" t="s">
        <v>110</v>
      </c>
      <c r="P43" s="18" t="s">
        <v>27</v>
      </c>
      <c r="Q43" s="19" t="s">
        <v>28</v>
      </c>
    </row>
    <row r="44" spans="1:17" ht="30" customHeight="1">
      <c r="A44" s="15" t="s">
        <v>232</v>
      </c>
      <c r="B44" s="24" t="s">
        <v>30</v>
      </c>
      <c r="C44" s="16" t="s">
        <v>233</v>
      </c>
      <c r="D44" s="16" t="s">
        <v>1440</v>
      </c>
      <c r="E44" s="25" t="s">
        <v>20</v>
      </c>
      <c r="F44" s="91" t="s">
        <v>21</v>
      </c>
      <c r="G44" s="22" t="s">
        <v>22</v>
      </c>
      <c r="H44" s="22">
        <v>12</v>
      </c>
      <c r="I44" s="92">
        <f t="shared" si="0"/>
        <v>45861</v>
      </c>
      <c r="J44" s="25" t="s">
        <v>234</v>
      </c>
      <c r="K44" s="25">
        <v>2014</v>
      </c>
      <c r="L44" s="16" t="s">
        <v>235</v>
      </c>
      <c r="M44" s="31" t="s">
        <v>236</v>
      </c>
      <c r="N44" s="16" t="s">
        <v>237</v>
      </c>
      <c r="O44" s="18" t="s">
        <v>110</v>
      </c>
      <c r="P44" s="18" t="s">
        <v>27</v>
      </c>
      <c r="Q44" s="19" t="s">
        <v>28</v>
      </c>
    </row>
    <row r="45" spans="1:17" ht="30" customHeight="1">
      <c r="A45" s="15" t="s">
        <v>238</v>
      </c>
      <c r="B45" s="24" t="s">
        <v>239</v>
      </c>
      <c r="C45" s="18" t="s">
        <v>240</v>
      </c>
      <c r="D45" s="16" t="s">
        <v>1440</v>
      </c>
      <c r="E45" s="25" t="s">
        <v>20</v>
      </c>
      <c r="F45" s="91" t="s">
        <v>105</v>
      </c>
      <c r="G45" s="22" t="s">
        <v>22</v>
      </c>
      <c r="H45" s="22">
        <v>12</v>
      </c>
      <c r="I45" s="92">
        <f t="shared" si="0"/>
        <v>45862</v>
      </c>
      <c r="J45" s="25" t="s">
        <v>209</v>
      </c>
      <c r="K45" s="25">
        <v>2014</v>
      </c>
      <c r="L45" s="16" t="s">
        <v>241</v>
      </c>
      <c r="M45" s="31" t="s">
        <v>242</v>
      </c>
      <c r="N45" s="16" t="s">
        <v>243</v>
      </c>
      <c r="O45" s="18" t="s">
        <v>110</v>
      </c>
      <c r="P45" s="18" t="s">
        <v>27</v>
      </c>
      <c r="Q45" s="19" t="s">
        <v>28</v>
      </c>
    </row>
    <row r="46" spans="1:17" ht="30" customHeight="1">
      <c r="A46" s="15" t="s">
        <v>244</v>
      </c>
      <c r="B46" s="24" t="s">
        <v>245</v>
      </c>
      <c r="C46" s="18" t="s">
        <v>246</v>
      </c>
      <c r="D46" s="16" t="s">
        <v>1440</v>
      </c>
      <c r="E46" s="25" t="s">
        <v>20</v>
      </c>
      <c r="F46" s="91" t="s">
        <v>21</v>
      </c>
      <c r="G46" s="22" t="s">
        <v>22</v>
      </c>
      <c r="H46" s="22">
        <v>12</v>
      </c>
      <c r="I46" s="92">
        <f t="shared" si="0"/>
        <v>45861</v>
      </c>
      <c r="J46" s="25" t="s">
        <v>247</v>
      </c>
      <c r="K46" s="25">
        <v>2014</v>
      </c>
      <c r="L46" s="16" t="s">
        <v>248</v>
      </c>
      <c r="M46" s="31">
        <v>93001109</v>
      </c>
      <c r="N46" s="16" t="s">
        <v>249</v>
      </c>
      <c r="O46" s="18" t="s">
        <v>110</v>
      </c>
      <c r="P46" s="18" t="s">
        <v>27</v>
      </c>
      <c r="Q46" s="19" t="s">
        <v>28</v>
      </c>
    </row>
    <row r="47" spans="1:17" ht="30" customHeight="1">
      <c r="A47" s="15" t="s">
        <v>250</v>
      </c>
      <c r="B47" s="24" t="s">
        <v>251</v>
      </c>
      <c r="C47" s="18" t="s">
        <v>246</v>
      </c>
      <c r="D47" s="16" t="s">
        <v>1440</v>
      </c>
      <c r="E47" s="25" t="s">
        <v>20</v>
      </c>
      <c r="F47" s="91" t="s">
        <v>85</v>
      </c>
      <c r="G47" s="22" t="s">
        <v>22</v>
      </c>
      <c r="H47" s="22">
        <v>12</v>
      </c>
      <c r="I47" s="92">
        <f t="shared" si="0"/>
        <v>45860</v>
      </c>
      <c r="J47" s="25" t="s">
        <v>247</v>
      </c>
      <c r="K47" s="25">
        <v>2014</v>
      </c>
      <c r="L47" s="16" t="s">
        <v>252</v>
      </c>
      <c r="M47" s="31">
        <v>15004769</v>
      </c>
      <c r="N47" s="16" t="s">
        <v>249</v>
      </c>
      <c r="O47" s="18" t="s">
        <v>253</v>
      </c>
      <c r="P47" s="18" t="s">
        <v>27</v>
      </c>
      <c r="Q47" s="19" t="s">
        <v>28</v>
      </c>
    </row>
    <row r="48" spans="1:17" ht="30" customHeight="1">
      <c r="A48" s="15" t="s">
        <v>254</v>
      </c>
      <c r="B48" s="24" t="s">
        <v>255</v>
      </c>
      <c r="C48" s="18" t="s">
        <v>256</v>
      </c>
      <c r="D48" s="16" t="s">
        <v>1440</v>
      </c>
      <c r="E48" s="25" t="s">
        <v>20</v>
      </c>
      <c r="F48" s="91" t="s">
        <v>105</v>
      </c>
      <c r="G48" s="22" t="s">
        <v>22</v>
      </c>
      <c r="H48" s="22">
        <v>12</v>
      </c>
      <c r="I48" s="92">
        <f t="shared" si="0"/>
        <v>45862</v>
      </c>
      <c r="J48" s="25" t="s">
        <v>209</v>
      </c>
      <c r="K48" s="25">
        <v>2014</v>
      </c>
      <c r="L48" s="16" t="s">
        <v>257</v>
      </c>
      <c r="M48" s="31" t="s">
        <v>258</v>
      </c>
      <c r="N48" s="16" t="s">
        <v>259</v>
      </c>
      <c r="O48" s="18" t="s">
        <v>253</v>
      </c>
      <c r="P48" s="18" t="s">
        <v>27</v>
      </c>
      <c r="Q48" s="19" t="s">
        <v>28</v>
      </c>
    </row>
    <row r="49" spans="1:17" ht="30" customHeight="1">
      <c r="A49" s="15" t="s">
        <v>260</v>
      </c>
      <c r="B49" s="24" t="s">
        <v>261</v>
      </c>
      <c r="C49" s="18" t="s">
        <v>221</v>
      </c>
      <c r="D49" s="16" t="s">
        <v>1440</v>
      </c>
      <c r="E49" s="25" t="s">
        <v>20</v>
      </c>
      <c r="F49" s="91" t="s">
        <v>21</v>
      </c>
      <c r="G49" s="22" t="s">
        <v>22</v>
      </c>
      <c r="H49" s="22">
        <v>12</v>
      </c>
      <c r="I49" s="92">
        <f t="shared" si="0"/>
        <v>45861</v>
      </c>
      <c r="J49" s="25" t="s">
        <v>209</v>
      </c>
      <c r="K49" s="25">
        <v>2014</v>
      </c>
      <c r="L49" s="16" t="s">
        <v>262</v>
      </c>
      <c r="M49" s="31" t="s">
        <v>263</v>
      </c>
      <c r="N49" s="16" t="s">
        <v>264</v>
      </c>
      <c r="O49" s="18" t="s">
        <v>253</v>
      </c>
      <c r="P49" s="18" t="s">
        <v>27</v>
      </c>
      <c r="Q49" s="19" t="s">
        <v>28</v>
      </c>
    </row>
    <row r="50" spans="1:17" ht="30" customHeight="1">
      <c r="A50" s="15" t="s">
        <v>265</v>
      </c>
      <c r="B50" s="24" t="s">
        <v>30</v>
      </c>
      <c r="C50" s="18" t="s">
        <v>214</v>
      </c>
      <c r="D50" s="16" t="s">
        <v>1440</v>
      </c>
      <c r="E50" s="25" t="s">
        <v>20</v>
      </c>
      <c r="F50" s="91" t="s">
        <v>21</v>
      </c>
      <c r="G50" s="22" t="s">
        <v>22</v>
      </c>
      <c r="H50" s="22">
        <v>12</v>
      </c>
      <c r="I50" s="92">
        <f t="shared" si="0"/>
        <v>45861</v>
      </c>
      <c r="J50" s="25" t="s">
        <v>215</v>
      </c>
      <c r="K50" s="25">
        <v>2014</v>
      </c>
      <c r="L50" s="16" t="s">
        <v>216</v>
      </c>
      <c r="M50" s="31" t="s">
        <v>266</v>
      </c>
      <c r="N50" s="16" t="s">
        <v>231</v>
      </c>
      <c r="O50" s="18" t="s">
        <v>110</v>
      </c>
      <c r="P50" s="18" t="s">
        <v>27</v>
      </c>
      <c r="Q50" s="19" t="s">
        <v>28</v>
      </c>
    </row>
    <row r="51" spans="1:17" ht="30" customHeight="1">
      <c r="A51" s="15" t="s">
        <v>267</v>
      </c>
      <c r="B51" s="24" t="s">
        <v>30</v>
      </c>
      <c r="C51" s="18" t="s">
        <v>214</v>
      </c>
      <c r="D51" s="16" t="s">
        <v>1440</v>
      </c>
      <c r="E51" s="25" t="s">
        <v>20</v>
      </c>
      <c r="F51" s="91" t="s">
        <v>21</v>
      </c>
      <c r="G51" s="22" t="s">
        <v>22</v>
      </c>
      <c r="H51" s="22">
        <v>12</v>
      </c>
      <c r="I51" s="92">
        <f t="shared" si="0"/>
        <v>45861</v>
      </c>
      <c r="J51" s="25" t="s">
        <v>215</v>
      </c>
      <c r="K51" s="25">
        <v>2014</v>
      </c>
      <c r="L51" s="16" t="s">
        <v>216</v>
      </c>
      <c r="M51" s="31" t="s">
        <v>268</v>
      </c>
      <c r="N51" s="16" t="s">
        <v>231</v>
      </c>
      <c r="O51" s="18" t="s">
        <v>110</v>
      </c>
      <c r="P51" s="18" t="s">
        <v>27</v>
      </c>
      <c r="Q51" s="19" t="s">
        <v>28</v>
      </c>
    </row>
    <row r="52" spans="1:17" ht="30" customHeight="1">
      <c r="A52" s="15" t="s">
        <v>269</v>
      </c>
      <c r="B52" s="24" t="s">
        <v>30</v>
      </c>
      <c r="C52" s="18" t="s">
        <v>214</v>
      </c>
      <c r="D52" s="16" t="s">
        <v>1440</v>
      </c>
      <c r="E52" s="25" t="s">
        <v>20</v>
      </c>
      <c r="F52" s="91" t="s">
        <v>21</v>
      </c>
      <c r="G52" s="22" t="s">
        <v>22</v>
      </c>
      <c r="H52" s="22">
        <v>12</v>
      </c>
      <c r="I52" s="92">
        <f t="shared" si="0"/>
        <v>45861</v>
      </c>
      <c r="J52" s="25" t="s">
        <v>215</v>
      </c>
      <c r="K52" s="25">
        <v>2014</v>
      </c>
      <c r="L52" s="16" t="s">
        <v>216</v>
      </c>
      <c r="M52" s="31" t="s">
        <v>270</v>
      </c>
      <c r="N52" s="16" t="s">
        <v>231</v>
      </c>
      <c r="O52" s="18" t="s">
        <v>110</v>
      </c>
      <c r="P52" s="18" t="s">
        <v>27</v>
      </c>
      <c r="Q52" s="19" t="s">
        <v>28</v>
      </c>
    </row>
    <row r="53" spans="1:17" ht="30" customHeight="1">
      <c r="A53" s="15" t="s">
        <v>271</v>
      </c>
      <c r="B53" s="24" t="s">
        <v>30</v>
      </c>
      <c r="C53" s="18" t="s">
        <v>214</v>
      </c>
      <c r="D53" s="16" t="s">
        <v>1440</v>
      </c>
      <c r="E53" s="25" t="s">
        <v>20</v>
      </c>
      <c r="F53" s="91" t="s">
        <v>21</v>
      </c>
      <c r="G53" s="22" t="s">
        <v>22</v>
      </c>
      <c r="H53" s="22">
        <v>12</v>
      </c>
      <c r="I53" s="92">
        <f t="shared" si="0"/>
        <v>45861</v>
      </c>
      <c r="J53" s="25" t="s">
        <v>215</v>
      </c>
      <c r="K53" s="25">
        <v>2014</v>
      </c>
      <c r="L53" s="16" t="s">
        <v>216</v>
      </c>
      <c r="M53" s="31" t="s">
        <v>272</v>
      </c>
      <c r="N53" s="16" t="s">
        <v>231</v>
      </c>
      <c r="O53" s="18" t="s">
        <v>110</v>
      </c>
      <c r="P53" s="18" t="s">
        <v>27</v>
      </c>
      <c r="Q53" s="19" t="s">
        <v>28</v>
      </c>
    </row>
    <row r="54" spans="1:17" ht="30" customHeight="1">
      <c r="A54" s="15" t="s">
        <v>273</v>
      </c>
      <c r="B54" s="24" t="s">
        <v>274</v>
      </c>
      <c r="C54" s="18" t="s">
        <v>275</v>
      </c>
      <c r="D54" s="16" t="s">
        <v>1440</v>
      </c>
      <c r="E54" s="25" t="s">
        <v>20</v>
      </c>
      <c r="F54" s="91" t="s">
        <v>105</v>
      </c>
      <c r="G54" s="22" t="s">
        <v>22</v>
      </c>
      <c r="H54" s="22">
        <v>12</v>
      </c>
      <c r="I54" s="92">
        <f t="shared" si="0"/>
        <v>45862</v>
      </c>
      <c r="J54" s="25" t="s">
        <v>209</v>
      </c>
      <c r="K54" s="25">
        <v>2014</v>
      </c>
      <c r="L54" s="16" t="s">
        <v>276</v>
      </c>
      <c r="M54" s="31" t="s">
        <v>277</v>
      </c>
      <c r="N54" s="16" t="s">
        <v>278</v>
      </c>
      <c r="O54" s="18" t="s">
        <v>110</v>
      </c>
      <c r="P54" s="18" t="s">
        <v>27</v>
      </c>
      <c r="Q54" s="19" t="s">
        <v>28</v>
      </c>
    </row>
    <row r="55" spans="1:17" ht="30" customHeight="1">
      <c r="A55" s="15" t="s">
        <v>279</v>
      </c>
      <c r="B55" s="24" t="s">
        <v>274</v>
      </c>
      <c r="C55" s="18" t="s">
        <v>275</v>
      </c>
      <c r="D55" s="16" t="s">
        <v>1440</v>
      </c>
      <c r="E55" s="25" t="s">
        <v>20</v>
      </c>
      <c r="F55" s="91" t="s">
        <v>105</v>
      </c>
      <c r="G55" s="22" t="s">
        <v>22</v>
      </c>
      <c r="H55" s="22">
        <v>12</v>
      </c>
      <c r="I55" s="92">
        <f t="shared" si="0"/>
        <v>45862</v>
      </c>
      <c r="J55" s="25" t="s">
        <v>209</v>
      </c>
      <c r="K55" s="25">
        <v>2014</v>
      </c>
      <c r="L55" s="16" t="s">
        <v>276</v>
      </c>
      <c r="M55" s="31" t="s">
        <v>280</v>
      </c>
      <c r="N55" s="16" t="s">
        <v>278</v>
      </c>
      <c r="O55" s="18" t="s">
        <v>110</v>
      </c>
      <c r="P55" s="18" t="s">
        <v>27</v>
      </c>
      <c r="Q55" s="19" t="s">
        <v>28</v>
      </c>
    </row>
    <row r="56" spans="1:17" ht="30" customHeight="1">
      <c r="A56" s="15" t="s">
        <v>281</v>
      </c>
      <c r="B56" s="24" t="s">
        <v>274</v>
      </c>
      <c r="C56" s="18" t="s">
        <v>275</v>
      </c>
      <c r="D56" s="16" t="s">
        <v>1440</v>
      </c>
      <c r="E56" s="25" t="s">
        <v>20</v>
      </c>
      <c r="F56" s="91" t="s">
        <v>105</v>
      </c>
      <c r="G56" s="22" t="s">
        <v>22</v>
      </c>
      <c r="H56" s="22">
        <v>12</v>
      </c>
      <c r="I56" s="92">
        <f t="shared" si="0"/>
        <v>45862</v>
      </c>
      <c r="J56" s="25" t="s">
        <v>209</v>
      </c>
      <c r="K56" s="25">
        <v>2014</v>
      </c>
      <c r="L56" s="16" t="s">
        <v>276</v>
      </c>
      <c r="M56" s="31" t="s">
        <v>282</v>
      </c>
      <c r="N56" s="16" t="s">
        <v>278</v>
      </c>
      <c r="O56" s="18" t="s">
        <v>110</v>
      </c>
      <c r="P56" s="18" t="s">
        <v>27</v>
      </c>
      <c r="Q56" s="19" t="s">
        <v>28</v>
      </c>
    </row>
    <row r="57" spans="1:17" ht="30" customHeight="1">
      <c r="A57" s="15" t="s">
        <v>283</v>
      </c>
      <c r="B57" s="24" t="s">
        <v>284</v>
      </c>
      <c r="C57" s="18" t="s">
        <v>275</v>
      </c>
      <c r="D57" s="16" t="s">
        <v>1440</v>
      </c>
      <c r="E57" s="25" t="s">
        <v>20</v>
      </c>
      <c r="F57" s="91" t="s">
        <v>105</v>
      </c>
      <c r="G57" s="22" t="s">
        <v>22</v>
      </c>
      <c r="H57" s="22">
        <v>12</v>
      </c>
      <c r="I57" s="92">
        <f t="shared" si="0"/>
        <v>45862</v>
      </c>
      <c r="J57" s="26" t="s">
        <v>209</v>
      </c>
      <c r="K57" s="25">
        <v>2014</v>
      </c>
      <c r="L57" s="16" t="s">
        <v>285</v>
      </c>
      <c r="M57" s="31" t="s">
        <v>286</v>
      </c>
      <c r="N57" s="16" t="s">
        <v>278</v>
      </c>
      <c r="O57" s="18" t="s">
        <v>110</v>
      </c>
      <c r="P57" s="18" t="s">
        <v>27</v>
      </c>
      <c r="Q57" s="19" t="s">
        <v>28</v>
      </c>
    </row>
    <row r="58" spans="1:17" ht="30" customHeight="1">
      <c r="A58" s="15" t="s">
        <v>287</v>
      </c>
      <c r="B58" s="24" t="s">
        <v>284</v>
      </c>
      <c r="C58" s="18" t="s">
        <v>275</v>
      </c>
      <c r="D58" s="16" t="s">
        <v>1440</v>
      </c>
      <c r="E58" s="25" t="s">
        <v>20</v>
      </c>
      <c r="F58" s="91" t="s">
        <v>105</v>
      </c>
      <c r="G58" s="22" t="s">
        <v>22</v>
      </c>
      <c r="H58" s="22">
        <v>12</v>
      </c>
      <c r="I58" s="92">
        <f t="shared" si="0"/>
        <v>45862</v>
      </c>
      <c r="J58" s="26" t="s">
        <v>209</v>
      </c>
      <c r="K58" s="25">
        <v>2014</v>
      </c>
      <c r="L58" s="16" t="s">
        <v>285</v>
      </c>
      <c r="M58" s="31" t="s">
        <v>288</v>
      </c>
      <c r="N58" s="16" t="s">
        <v>278</v>
      </c>
      <c r="O58" s="18" t="s">
        <v>110</v>
      </c>
      <c r="P58" s="18" t="s">
        <v>27</v>
      </c>
      <c r="Q58" s="19" t="s">
        <v>28</v>
      </c>
    </row>
    <row r="59" spans="1:17" ht="30" customHeight="1">
      <c r="A59" s="15" t="s">
        <v>289</v>
      </c>
      <c r="B59" s="24" t="s">
        <v>284</v>
      </c>
      <c r="C59" s="18" t="s">
        <v>275</v>
      </c>
      <c r="D59" s="16" t="s">
        <v>1440</v>
      </c>
      <c r="E59" s="25" t="s">
        <v>20</v>
      </c>
      <c r="F59" s="91" t="s">
        <v>105</v>
      </c>
      <c r="G59" s="22" t="s">
        <v>22</v>
      </c>
      <c r="H59" s="22">
        <v>12</v>
      </c>
      <c r="I59" s="92">
        <f t="shared" si="0"/>
        <v>45862</v>
      </c>
      <c r="J59" s="25" t="s">
        <v>209</v>
      </c>
      <c r="K59" s="25">
        <v>2014</v>
      </c>
      <c r="L59" s="16" t="s">
        <v>285</v>
      </c>
      <c r="M59" s="31" t="s">
        <v>290</v>
      </c>
      <c r="N59" s="16" t="s">
        <v>278</v>
      </c>
      <c r="O59" s="18" t="s">
        <v>110</v>
      </c>
      <c r="P59" s="18" t="s">
        <v>27</v>
      </c>
      <c r="Q59" s="19" t="s">
        <v>28</v>
      </c>
    </row>
    <row r="60" spans="1:17" ht="30" customHeight="1">
      <c r="A60" s="15" t="s">
        <v>291</v>
      </c>
      <c r="B60" s="24" t="s">
        <v>30</v>
      </c>
      <c r="C60" s="18" t="s">
        <v>292</v>
      </c>
      <c r="D60" s="16" t="s">
        <v>1440</v>
      </c>
      <c r="E60" s="16" t="s">
        <v>146</v>
      </c>
      <c r="F60" s="23" t="s">
        <v>30</v>
      </c>
      <c r="G60" s="22" t="s">
        <v>30</v>
      </c>
      <c r="H60" s="22" t="s">
        <v>30</v>
      </c>
      <c r="I60" s="92" t="str">
        <f t="shared" si="0"/>
        <v>N/A</v>
      </c>
      <c r="J60" s="26" t="s">
        <v>293</v>
      </c>
      <c r="K60" s="25">
        <v>2014</v>
      </c>
      <c r="L60" s="16" t="s">
        <v>294</v>
      </c>
      <c r="M60" s="31">
        <v>23736</v>
      </c>
      <c r="N60" s="16" t="s">
        <v>278</v>
      </c>
      <c r="O60" s="18" t="s">
        <v>110</v>
      </c>
      <c r="P60" s="18" t="s">
        <v>37</v>
      </c>
      <c r="Q60" s="19" t="s">
        <v>28</v>
      </c>
    </row>
    <row r="61" spans="1:17" ht="30" customHeight="1">
      <c r="A61" s="15" t="s">
        <v>295</v>
      </c>
      <c r="B61" s="24" t="s">
        <v>30</v>
      </c>
      <c r="C61" s="18" t="s">
        <v>292</v>
      </c>
      <c r="D61" s="16" t="s">
        <v>1440</v>
      </c>
      <c r="E61" s="16" t="s">
        <v>146</v>
      </c>
      <c r="F61" s="23" t="s">
        <v>30</v>
      </c>
      <c r="G61" s="22" t="s">
        <v>30</v>
      </c>
      <c r="H61" s="22" t="s">
        <v>30</v>
      </c>
      <c r="I61" s="92" t="str">
        <f t="shared" si="0"/>
        <v>N/A</v>
      </c>
      <c r="J61" s="25" t="s">
        <v>293</v>
      </c>
      <c r="K61" s="25">
        <v>2014</v>
      </c>
      <c r="L61" s="16" t="s">
        <v>294</v>
      </c>
      <c r="M61" s="31">
        <v>23737</v>
      </c>
      <c r="N61" s="16" t="s">
        <v>278</v>
      </c>
      <c r="O61" s="18" t="s">
        <v>110</v>
      </c>
      <c r="P61" s="18" t="s">
        <v>37</v>
      </c>
      <c r="Q61" s="19" t="s">
        <v>28</v>
      </c>
    </row>
    <row r="62" spans="1:17" ht="30" customHeight="1">
      <c r="A62" s="15" t="s">
        <v>296</v>
      </c>
      <c r="B62" s="24" t="s">
        <v>30</v>
      </c>
      <c r="C62" s="18" t="s">
        <v>297</v>
      </c>
      <c r="D62" s="16" t="s">
        <v>1440</v>
      </c>
      <c r="E62" s="16" t="s">
        <v>146</v>
      </c>
      <c r="F62" s="23" t="s">
        <v>30</v>
      </c>
      <c r="G62" s="22" t="s">
        <v>30</v>
      </c>
      <c r="H62" s="22" t="s">
        <v>30</v>
      </c>
      <c r="I62" s="92" t="str">
        <f t="shared" si="0"/>
        <v>N/A</v>
      </c>
      <c r="J62" s="25" t="s">
        <v>298</v>
      </c>
      <c r="K62" s="25">
        <v>2014</v>
      </c>
      <c r="L62" s="16" t="s">
        <v>299</v>
      </c>
      <c r="M62" s="31" t="s">
        <v>300</v>
      </c>
      <c r="N62" s="16" t="s">
        <v>301</v>
      </c>
      <c r="O62" s="18" t="s">
        <v>253</v>
      </c>
      <c r="P62" s="18" t="s">
        <v>37</v>
      </c>
      <c r="Q62" s="19" t="s">
        <v>28</v>
      </c>
    </row>
    <row r="63" spans="1:17" ht="30" customHeight="1">
      <c r="A63" s="15" t="s">
        <v>302</v>
      </c>
      <c r="B63" s="24" t="s">
        <v>303</v>
      </c>
      <c r="C63" s="16" t="s">
        <v>304</v>
      </c>
      <c r="D63" s="16" t="s">
        <v>1440</v>
      </c>
      <c r="E63" s="25" t="s">
        <v>20</v>
      </c>
      <c r="F63" s="93">
        <v>45490</v>
      </c>
      <c r="G63" s="22" t="s">
        <v>55</v>
      </c>
      <c r="H63" s="22">
        <v>24</v>
      </c>
      <c r="I63" s="92">
        <f t="shared" si="0"/>
        <v>46220</v>
      </c>
      <c r="J63" s="25" t="s">
        <v>56</v>
      </c>
      <c r="K63" s="25">
        <v>2014</v>
      </c>
      <c r="L63" s="16">
        <v>3117</v>
      </c>
      <c r="M63" s="31" t="s">
        <v>305</v>
      </c>
      <c r="N63" s="16" t="s">
        <v>58</v>
      </c>
      <c r="O63" s="18" t="s">
        <v>26</v>
      </c>
      <c r="P63" s="18" t="s">
        <v>27</v>
      </c>
      <c r="Q63" s="19" t="s">
        <v>28</v>
      </c>
    </row>
    <row r="64" spans="1:17" ht="30" customHeight="1">
      <c r="A64" s="15" t="s">
        <v>306</v>
      </c>
      <c r="B64" s="24" t="s">
        <v>307</v>
      </c>
      <c r="C64" s="16" t="s">
        <v>304</v>
      </c>
      <c r="D64" s="16" t="s">
        <v>1440</v>
      </c>
      <c r="E64" s="25" t="s">
        <v>20</v>
      </c>
      <c r="F64" s="91">
        <v>45490</v>
      </c>
      <c r="G64" s="22" t="s">
        <v>55</v>
      </c>
      <c r="H64" s="22">
        <v>24</v>
      </c>
      <c r="I64" s="92">
        <f t="shared" si="0"/>
        <v>46220</v>
      </c>
      <c r="J64" s="25" t="s">
        <v>56</v>
      </c>
      <c r="K64" s="25">
        <v>2014</v>
      </c>
      <c r="L64" s="16">
        <v>3117</v>
      </c>
      <c r="M64" s="31" t="s">
        <v>308</v>
      </c>
      <c r="N64" s="16" t="s">
        <v>58</v>
      </c>
      <c r="O64" s="18" t="s">
        <v>90</v>
      </c>
      <c r="P64" s="18" t="s">
        <v>27</v>
      </c>
      <c r="Q64" s="19" t="s">
        <v>28</v>
      </c>
    </row>
    <row r="65" spans="1:17" ht="30" customHeight="1">
      <c r="A65" s="15" t="s">
        <v>309</v>
      </c>
      <c r="B65" s="24" t="s">
        <v>30</v>
      </c>
      <c r="C65" s="18" t="s">
        <v>75</v>
      </c>
      <c r="D65" s="16" t="s">
        <v>1440</v>
      </c>
      <c r="E65" s="16" t="s">
        <v>32</v>
      </c>
      <c r="F65" s="21" t="s">
        <v>30</v>
      </c>
      <c r="G65" s="21" t="s">
        <v>30</v>
      </c>
      <c r="H65" s="21" t="s">
        <v>30</v>
      </c>
      <c r="I65" s="92" t="str">
        <f t="shared" si="0"/>
        <v>N/A</v>
      </c>
      <c r="J65" s="25" t="s">
        <v>140</v>
      </c>
      <c r="K65" s="25">
        <v>2015</v>
      </c>
      <c r="L65" s="16" t="s">
        <v>76</v>
      </c>
      <c r="M65" s="31" t="s">
        <v>36</v>
      </c>
      <c r="N65" s="16" t="s">
        <v>36</v>
      </c>
      <c r="O65" s="18" t="s">
        <v>90</v>
      </c>
      <c r="P65" s="18" t="s">
        <v>37</v>
      </c>
      <c r="Q65" s="19" t="s">
        <v>28</v>
      </c>
    </row>
    <row r="66" spans="1:17" ht="30" customHeight="1">
      <c r="A66" s="15" t="s">
        <v>310</v>
      </c>
      <c r="B66" s="24" t="s">
        <v>30</v>
      </c>
      <c r="C66" s="18" t="s">
        <v>75</v>
      </c>
      <c r="D66" s="16" t="s">
        <v>1440</v>
      </c>
      <c r="E66" s="16" t="s">
        <v>32</v>
      </c>
      <c r="F66" s="21" t="s">
        <v>30</v>
      </c>
      <c r="G66" s="21" t="s">
        <v>30</v>
      </c>
      <c r="H66" s="21" t="s">
        <v>30</v>
      </c>
      <c r="I66" s="92" t="str">
        <f t="shared" si="0"/>
        <v>N/A</v>
      </c>
      <c r="J66" s="25" t="s">
        <v>140</v>
      </c>
      <c r="K66" s="25">
        <v>2015</v>
      </c>
      <c r="L66" s="16" t="s">
        <v>76</v>
      </c>
      <c r="M66" s="31" t="s">
        <v>36</v>
      </c>
      <c r="N66" s="16" t="s">
        <v>36</v>
      </c>
      <c r="O66" s="18" t="s">
        <v>26</v>
      </c>
      <c r="P66" s="18" t="s">
        <v>37</v>
      </c>
      <c r="Q66" s="19" t="s">
        <v>28</v>
      </c>
    </row>
    <row r="67" spans="1:17" ht="30" customHeight="1">
      <c r="A67" s="15" t="s">
        <v>311</v>
      </c>
      <c r="B67" s="24" t="s">
        <v>312</v>
      </c>
      <c r="C67" s="18" t="s">
        <v>275</v>
      </c>
      <c r="D67" s="16" t="s">
        <v>1440</v>
      </c>
      <c r="E67" s="25" t="s">
        <v>20</v>
      </c>
      <c r="F67" s="91" t="s">
        <v>105</v>
      </c>
      <c r="G67" s="22" t="s">
        <v>22</v>
      </c>
      <c r="H67" s="22">
        <v>12</v>
      </c>
      <c r="I67" s="92">
        <f t="shared" ref="I67:I130" si="1">IF(H67=12,DATE(YEAR(F67)+1,MONTH(F67),DAY(F67)),IF(H67=24,DATE(YEAR(F67)+2,MONTH(F67),DAY(F67)),IF(H67="N/A","N/A")))</f>
        <v>45862</v>
      </c>
      <c r="J67" s="25" t="s">
        <v>313</v>
      </c>
      <c r="K67" s="25">
        <v>2014</v>
      </c>
      <c r="L67" s="16" t="s">
        <v>314</v>
      </c>
      <c r="M67" s="31">
        <v>25333</v>
      </c>
      <c r="N67" s="16" t="s">
        <v>315</v>
      </c>
      <c r="O67" s="18" t="s">
        <v>110</v>
      </c>
      <c r="P67" s="18" t="s">
        <v>27</v>
      </c>
      <c r="Q67" s="19" t="s">
        <v>28</v>
      </c>
    </row>
    <row r="68" spans="1:17" ht="30" customHeight="1">
      <c r="A68" s="15" t="s">
        <v>316</v>
      </c>
      <c r="B68" s="24" t="s">
        <v>30</v>
      </c>
      <c r="C68" s="18" t="s">
        <v>214</v>
      </c>
      <c r="D68" s="16" t="s">
        <v>1440</v>
      </c>
      <c r="E68" s="25" t="s">
        <v>20</v>
      </c>
      <c r="F68" s="91" t="s">
        <v>21</v>
      </c>
      <c r="G68" s="22" t="s">
        <v>22</v>
      </c>
      <c r="H68" s="22">
        <v>12</v>
      </c>
      <c r="I68" s="92">
        <f t="shared" si="1"/>
        <v>45861</v>
      </c>
      <c r="J68" s="25" t="s">
        <v>215</v>
      </c>
      <c r="K68" s="25">
        <v>2014</v>
      </c>
      <c r="L68" s="16" t="s">
        <v>216</v>
      </c>
      <c r="M68" s="31" t="s">
        <v>317</v>
      </c>
      <c r="N68" s="16" t="s">
        <v>231</v>
      </c>
      <c r="O68" s="18" t="s">
        <v>110</v>
      </c>
      <c r="P68" s="18" t="s">
        <v>27</v>
      </c>
      <c r="Q68" s="19" t="s">
        <v>28</v>
      </c>
    </row>
    <row r="69" spans="1:17" ht="30" customHeight="1">
      <c r="A69" s="15" t="s">
        <v>318</v>
      </c>
      <c r="B69" s="24" t="s">
        <v>30</v>
      </c>
      <c r="C69" s="18" t="s">
        <v>214</v>
      </c>
      <c r="D69" s="16" t="s">
        <v>1440</v>
      </c>
      <c r="E69" s="25" t="s">
        <v>20</v>
      </c>
      <c r="F69" s="91" t="s">
        <v>21</v>
      </c>
      <c r="G69" s="22" t="s">
        <v>22</v>
      </c>
      <c r="H69" s="22">
        <v>12</v>
      </c>
      <c r="I69" s="92">
        <f t="shared" si="1"/>
        <v>45861</v>
      </c>
      <c r="J69" s="25" t="s">
        <v>313</v>
      </c>
      <c r="K69" s="25">
        <v>2014</v>
      </c>
      <c r="L69" s="16">
        <v>2</v>
      </c>
      <c r="M69" s="31" t="s">
        <v>319</v>
      </c>
      <c r="N69" s="16" t="s">
        <v>320</v>
      </c>
      <c r="O69" s="18" t="s">
        <v>110</v>
      </c>
      <c r="P69" s="18" t="s">
        <v>27</v>
      </c>
      <c r="Q69" s="19" t="s">
        <v>28</v>
      </c>
    </row>
    <row r="70" spans="1:17" ht="30" customHeight="1">
      <c r="A70" s="15" t="s">
        <v>321</v>
      </c>
      <c r="B70" s="24" t="s">
        <v>30</v>
      </c>
      <c r="C70" s="18" t="s">
        <v>214</v>
      </c>
      <c r="D70" s="16" t="s">
        <v>1440</v>
      </c>
      <c r="E70" s="25" t="s">
        <v>20</v>
      </c>
      <c r="F70" s="91" t="s">
        <v>21</v>
      </c>
      <c r="G70" s="22" t="s">
        <v>22</v>
      </c>
      <c r="H70" s="22">
        <v>12</v>
      </c>
      <c r="I70" s="92">
        <f t="shared" si="1"/>
        <v>45861</v>
      </c>
      <c r="J70" s="25" t="s">
        <v>313</v>
      </c>
      <c r="K70" s="25">
        <v>2014</v>
      </c>
      <c r="L70" s="16">
        <v>2</v>
      </c>
      <c r="M70" s="31" t="s">
        <v>322</v>
      </c>
      <c r="N70" s="16" t="s">
        <v>320</v>
      </c>
      <c r="O70" s="18" t="s">
        <v>110</v>
      </c>
      <c r="P70" s="18" t="s">
        <v>27</v>
      </c>
      <c r="Q70" s="19" t="s">
        <v>28</v>
      </c>
    </row>
    <row r="71" spans="1:17" ht="30" customHeight="1">
      <c r="A71" s="15" t="s">
        <v>323</v>
      </c>
      <c r="B71" s="24" t="s">
        <v>30</v>
      </c>
      <c r="C71" s="18" t="s">
        <v>214</v>
      </c>
      <c r="D71" s="16" t="s">
        <v>1440</v>
      </c>
      <c r="E71" s="25" t="s">
        <v>20</v>
      </c>
      <c r="F71" s="91" t="s">
        <v>21</v>
      </c>
      <c r="G71" s="22" t="s">
        <v>22</v>
      </c>
      <c r="H71" s="22">
        <v>12</v>
      </c>
      <c r="I71" s="92">
        <f t="shared" si="1"/>
        <v>45861</v>
      </c>
      <c r="J71" s="25" t="s">
        <v>313</v>
      </c>
      <c r="K71" s="25">
        <v>2014</v>
      </c>
      <c r="L71" s="16">
        <v>2</v>
      </c>
      <c r="M71" s="31" t="s">
        <v>324</v>
      </c>
      <c r="N71" s="16" t="s">
        <v>320</v>
      </c>
      <c r="O71" s="18" t="s">
        <v>110</v>
      </c>
      <c r="P71" s="18" t="s">
        <v>27</v>
      </c>
      <c r="Q71" s="19" t="s">
        <v>28</v>
      </c>
    </row>
    <row r="72" spans="1:17" ht="30" customHeight="1">
      <c r="A72" s="15" t="s">
        <v>325</v>
      </c>
      <c r="B72" s="24" t="s">
        <v>30</v>
      </c>
      <c r="C72" s="18" t="s">
        <v>214</v>
      </c>
      <c r="D72" s="16" t="s">
        <v>1440</v>
      </c>
      <c r="E72" s="25" t="s">
        <v>20</v>
      </c>
      <c r="F72" s="91" t="s">
        <v>21</v>
      </c>
      <c r="G72" s="22" t="s">
        <v>22</v>
      </c>
      <c r="H72" s="22">
        <v>12</v>
      </c>
      <c r="I72" s="92">
        <f t="shared" si="1"/>
        <v>45861</v>
      </c>
      <c r="J72" s="25" t="s">
        <v>313</v>
      </c>
      <c r="K72" s="25">
        <v>2014</v>
      </c>
      <c r="L72" s="16">
        <v>2</v>
      </c>
      <c r="M72" s="31" t="s">
        <v>326</v>
      </c>
      <c r="N72" s="16" t="s">
        <v>320</v>
      </c>
      <c r="O72" s="18" t="s">
        <v>110</v>
      </c>
      <c r="P72" s="18" t="s">
        <v>27</v>
      </c>
      <c r="Q72" s="19" t="s">
        <v>28</v>
      </c>
    </row>
    <row r="73" spans="1:17" ht="30" customHeight="1">
      <c r="A73" s="15" t="s">
        <v>327</v>
      </c>
      <c r="B73" s="24" t="s">
        <v>30</v>
      </c>
      <c r="C73" s="18" t="s">
        <v>214</v>
      </c>
      <c r="D73" s="16" t="s">
        <v>1440</v>
      </c>
      <c r="E73" s="25" t="s">
        <v>20</v>
      </c>
      <c r="F73" s="91" t="s">
        <v>21</v>
      </c>
      <c r="G73" s="22" t="s">
        <v>22</v>
      </c>
      <c r="H73" s="22">
        <v>12</v>
      </c>
      <c r="I73" s="92">
        <f t="shared" si="1"/>
        <v>45861</v>
      </c>
      <c r="J73" s="25" t="s">
        <v>215</v>
      </c>
      <c r="K73" s="25">
        <v>2014</v>
      </c>
      <c r="L73" s="16" t="s">
        <v>216</v>
      </c>
      <c r="M73" s="31" t="s">
        <v>328</v>
      </c>
      <c r="N73" s="16" t="s">
        <v>231</v>
      </c>
      <c r="O73" s="18" t="s">
        <v>110</v>
      </c>
      <c r="P73" s="18" t="s">
        <v>27</v>
      </c>
      <c r="Q73" s="19" t="s">
        <v>28</v>
      </c>
    </row>
    <row r="74" spans="1:17" ht="30" customHeight="1">
      <c r="A74" s="15" t="s">
        <v>329</v>
      </c>
      <c r="B74" s="24" t="s">
        <v>30</v>
      </c>
      <c r="C74" s="18" t="s">
        <v>214</v>
      </c>
      <c r="D74" s="16" t="s">
        <v>1440</v>
      </c>
      <c r="E74" s="25" t="s">
        <v>20</v>
      </c>
      <c r="F74" s="91" t="s">
        <v>21</v>
      </c>
      <c r="G74" s="22" t="s">
        <v>22</v>
      </c>
      <c r="H74" s="22">
        <v>12</v>
      </c>
      <c r="I74" s="92">
        <f t="shared" si="1"/>
        <v>45861</v>
      </c>
      <c r="J74" s="25" t="s">
        <v>215</v>
      </c>
      <c r="K74" s="25">
        <v>2014</v>
      </c>
      <c r="L74" s="16" t="s">
        <v>216</v>
      </c>
      <c r="M74" s="31" t="s">
        <v>330</v>
      </c>
      <c r="N74" s="16" t="s">
        <v>231</v>
      </c>
      <c r="O74" s="18" t="s">
        <v>110</v>
      </c>
      <c r="P74" s="18" t="s">
        <v>27</v>
      </c>
      <c r="Q74" s="19" t="s">
        <v>28</v>
      </c>
    </row>
    <row r="75" spans="1:17" ht="30" customHeight="1">
      <c r="A75" s="15" t="s">
        <v>331</v>
      </c>
      <c r="B75" s="24" t="s">
        <v>30</v>
      </c>
      <c r="C75" s="18" t="s">
        <v>214</v>
      </c>
      <c r="D75" s="16" t="s">
        <v>1440</v>
      </c>
      <c r="E75" s="25" t="s">
        <v>20</v>
      </c>
      <c r="F75" s="91" t="s">
        <v>21</v>
      </c>
      <c r="G75" s="22" t="s">
        <v>22</v>
      </c>
      <c r="H75" s="22">
        <v>12</v>
      </c>
      <c r="I75" s="92">
        <f t="shared" si="1"/>
        <v>45861</v>
      </c>
      <c r="J75" s="25" t="s">
        <v>215</v>
      </c>
      <c r="K75" s="25">
        <v>2014</v>
      </c>
      <c r="L75" s="16" t="s">
        <v>216</v>
      </c>
      <c r="M75" s="31" t="s">
        <v>332</v>
      </c>
      <c r="N75" s="16" t="s">
        <v>231</v>
      </c>
      <c r="O75" s="18" t="s">
        <v>90</v>
      </c>
      <c r="P75" s="18" t="s">
        <v>27</v>
      </c>
      <c r="Q75" s="19" t="s">
        <v>28</v>
      </c>
    </row>
    <row r="76" spans="1:17" ht="30" customHeight="1">
      <c r="A76" s="15" t="s">
        <v>333</v>
      </c>
      <c r="B76" s="24" t="s">
        <v>30</v>
      </c>
      <c r="C76" s="18" t="s">
        <v>334</v>
      </c>
      <c r="D76" s="16" t="s">
        <v>1440</v>
      </c>
      <c r="E76" s="25" t="s">
        <v>20</v>
      </c>
      <c r="F76" s="91" t="s">
        <v>21</v>
      </c>
      <c r="G76" s="22" t="s">
        <v>22</v>
      </c>
      <c r="H76" s="22">
        <v>12</v>
      </c>
      <c r="I76" s="92">
        <f t="shared" si="1"/>
        <v>45861</v>
      </c>
      <c r="J76" s="25" t="s">
        <v>234</v>
      </c>
      <c r="K76" s="25">
        <v>2014</v>
      </c>
      <c r="L76" s="16" t="s">
        <v>235</v>
      </c>
      <c r="M76" s="16" t="s">
        <v>335</v>
      </c>
      <c r="N76" s="16" t="s">
        <v>237</v>
      </c>
      <c r="O76" s="18" t="s">
        <v>110</v>
      </c>
      <c r="P76" s="18" t="s">
        <v>27</v>
      </c>
      <c r="Q76" s="19" t="s">
        <v>28</v>
      </c>
    </row>
    <row r="77" spans="1:17" ht="30" customHeight="1">
      <c r="A77" s="15" t="s">
        <v>336</v>
      </c>
      <c r="B77" s="24" t="s">
        <v>30</v>
      </c>
      <c r="C77" s="18" t="s">
        <v>334</v>
      </c>
      <c r="D77" s="16" t="s">
        <v>1440</v>
      </c>
      <c r="E77" s="25" t="s">
        <v>20</v>
      </c>
      <c r="F77" s="91" t="s">
        <v>21</v>
      </c>
      <c r="G77" s="22" t="s">
        <v>22</v>
      </c>
      <c r="H77" s="22">
        <v>12</v>
      </c>
      <c r="I77" s="92">
        <f t="shared" si="1"/>
        <v>45861</v>
      </c>
      <c r="J77" s="16" t="s">
        <v>234</v>
      </c>
      <c r="K77" s="25">
        <v>2014</v>
      </c>
      <c r="L77" s="16" t="s">
        <v>235</v>
      </c>
      <c r="M77" s="31" t="s">
        <v>337</v>
      </c>
      <c r="N77" s="16" t="s">
        <v>237</v>
      </c>
      <c r="O77" s="18" t="s">
        <v>110</v>
      </c>
      <c r="P77" s="18" t="s">
        <v>27</v>
      </c>
      <c r="Q77" s="19" t="s">
        <v>28</v>
      </c>
    </row>
    <row r="78" spans="1:17" ht="30" customHeight="1">
      <c r="A78" s="15" t="s">
        <v>338</v>
      </c>
      <c r="B78" s="24" t="s">
        <v>30</v>
      </c>
      <c r="C78" s="18" t="s">
        <v>334</v>
      </c>
      <c r="D78" s="16" t="s">
        <v>1440</v>
      </c>
      <c r="E78" s="25" t="s">
        <v>20</v>
      </c>
      <c r="F78" s="91" t="s">
        <v>21</v>
      </c>
      <c r="G78" s="22" t="s">
        <v>22</v>
      </c>
      <c r="H78" s="22">
        <v>12</v>
      </c>
      <c r="I78" s="92">
        <f t="shared" si="1"/>
        <v>45861</v>
      </c>
      <c r="J78" s="16" t="s">
        <v>234</v>
      </c>
      <c r="K78" s="25">
        <v>2014</v>
      </c>
      <c r="L78" s="20" t="s">
        <v>235</v>
      </c>
      <c r="M78" s="32" t="s">
        <v>339</v>
      </c>
      <c r="N78" s="16" t="s">
        <v>237</v>
      </c>
      <c r="O78" s="18" t="s">
        <v>110</v>
      </c>
      <c r="P78" s="18" t="s">
        <v>27</v>
      </c>
      <c r="Q78" s="19" t="s">
        <v>28</v>
      </c>
    </row>
    <row r="79" spans="1:17" ht="30" customHeight="1">
      <c r="A79" s="15" t="s">
        <v>340</v>
      </c>
      <c r="B79" s="24" t="s">
        <v>30</v>
      </c>
      <c r="C79" s="18" t="s">
        <v>334</v>
      </c>
      <c r="D79" s="16" t="s">
        <v>1440</v>
      </c>
      <c r="E79" s="25" t="s">
        <v>20</v>
      </c>
      <c r="F79" s="91" t="s">
        <v>21</v>
      </c>
      <c r="G79" s="22" t="s">
        <v>22</v>
      </c>
      <c r="H79" s="22">
        <v>12</v>
      </c>
      <c r="I79" s="92">
        <f t="shared" si="1"/>
        <v>45861</v>
      </c>
      <c r="J79" s="16" t="s">
        <v>234</v>
      </c>
      <c r="K79" s="25">
        <v>2014</v>
      </c>
      <c r="L79" s="20" t="s">
        <v>235</v>
      </c>
      <c r="M79" s="32" t="s">
        <v>341</v>
      </c>
      <c r="N79" s="16" t="s">
        <v>237</v>
      </c>
      <c r="O79" s="18" t="s">
        <v>110</v>
      </c>
      <c r="P79" s="18" t="s">
        <v>27</v>
      </c>
      <c r="Q79" s="19" t="s">
        <v>28</v>
      </c>
    </row>
    <row r="80" spans="1:17" ht="30" customHeight="1">
      <c r="A80" s="15" t="s">
        <v>342</v>
      </c>
      <c r="B80" s="24" t="s">
        <v>30</v>
      </c>
      <c r="C80" s="18" t="s">
        <v>334</v>
      </c>
      <c r="D80" s="16" t="s">
        <v>1440</v>
      </c>
      <c r="E80" s="25" t="s">
        <v>20</v>
      </c>
      <c r="F80" s="91" t="s">
        <v>21</v>
      </c>
      <c r="G80" s="22" t="s">
        <v>22</v>
      </c>
      <c r="H80" s="22">
        <v>12</v>
      </c>
      <c r="I80" s="92">
        <f t="shared" si="1"/>
        <v>45861</v>
      </c>
      <c r="J80" s="16" t="s">
        <v>234</v>
      </c>
      <c r="K80" s="25">
        <v>2014</v>
      </c>
      <c r="L80" s="20" t="s">
        <v>235</v>
      </c>
      <c r="M80" s="32" t="s">
        <v>343</v>
      </c>
      <c r="N80" s="16" t="s">
        <v>237</v>
      </c>
      <c r="O80" s="18" t="s">
        <v>110</v>
      </c>
      <c r="P80" s="18" t="s">
        <v>27</v>
      </c>
      <c r="Q80" s="19" t="s">
        <v>28</v>
      </c>
    </row>
    <row r="81" spans="1:17" ht="30" customHeight="1">
      <c r="A81" s="15" t="s">
        <v>344</v>
      </c>
      <c r="B81" s="24" t="s">
        <v>30</v>
      </c>
      <c r="C81" s="18" t="s">
        <v>334</v>
      </c>
      <c r="D81" s="16" t="s">
        <v>1440</v>
      </c>
      <c r="E81" s="25" t="s">
        <v>20</v>
      </c>
      <c r="F81" s="91" t="s">
        <v>21</v>
      </c>
      <c r="G81" s="22" t="s">
        <v>22</v>
      </c>
      <c r="H81" s="22">
        <v>12</v>
      </c>
      <c r="I81" s="92">
        <f t="shared" si="1"/>
        <v>45861</v>
      </c>
      <c r="J81" s="16" t="s">
        <v>234</v>
      </c>
      <c r="K81" s="25">
        <v>2014</v>
      </c>
      <c r="L81" s="20" t="s">
        <v>235</v>
      </c>
      <c r="M81" s="32" t="s">
        <v>345</v>
      </c>
      <c r="N81" s="16" t="s">
        <v>237</v>
      </c>
      <c r="O81" s="18" t="s">
        <v>110</v>
      </c>
      <c r="P81" s="18" t="s">
        <v>27</v>
      </c>
      <c r="Q81" s="19" t="s">
        <v>28</v>
      </c>
    </row>
    <row r="82" spans="1:17" ht="30" customHeight="1">
      <c r="A82" s="15" t="s">
        <v>346</v>
      </c>
      <c r="B82" s="24" t="s">
        <v>30</v>
      </c>
      <c r="C82" s="18" t="s">
        <v>214</v>
      </c>
      <c r="D82" s="16" t="s">
        <v>1440</v>
      </c>
      <c r="E82" s="25" t="s">
        <v>20</v>
      </c>
      <c r="F82" s="91" t="s">
        <v>21</v>
      </c>
      <c r="G82" s="22" t="s">
        <v>22</v>
      </c>
      <c r="H82" s="22">
        <v>12</v>
      </c>
      <c r="I82" s="92">
        <f t="shared" si="1"/>
        <v>45861</v>
      </c>
      <c r="J82" s="16" t="s">
        <v>313</v>
      </c>
      <c r="K82" s="25">
        <v>2014</v>
      </c>
      <c r="L82" s="20">
        <v>2</v>
      </c>
      <c r="M82" s="32" t="s">
        <v>347</v>
      </c>
      <c r="N82" s="16" t="s">
        <v>320</v>
      </c>
      <c r="O82" s="18" t="s">
        <v>110</v>
      </c>
      <c r="P82" s="18" t="s">
        <v>27</v>
      </c>
      <c r="Q82" s="19" t="s">
        <v>28</v>
      </c>
    </row>
    <row r="83" spans="1:17" ht="30" customHeight="1">
      <c r="A83" s="15" t="s">
        <v>348</v>
      </c>
      <c r="B83" s="24" t="s">
        <v>30</v>
      </c>
      <c r="C83" s="18" t="s">
        <v>226</v>
      </c>
      <c r="D83" s="16" t="s">
        <v>1440</v>
      </c>
      <c r="E83" s="25" t="s">
        <v>20</v>
      </c>
      <c r="F83" s="91" t="s">
        <v>105</v>
      </c>
      <c r="G83" s="22" t="s">
        <v>22</v>
      </c>
      <c r="H83" s="22">
        <v>12</v>
      </c>
      <c r="I83" s="92">
        <f t="shared" si="1"/>
        <v>45862</v>
      </c>
      <c r="J83" s="16" t="s">
        <v>227</v>
      </c>
      <c r="K83" s="25">
        <v>2014</v>
      </c>
      <c r="L83" s="20">
        <v>1850</v>
      </c>
      <c r="M83" s="32">
        <v>164430</v>
      </c>
      <c r="N83" s="16" t="s">
        <v>228</v>
      </c>
      <c r="O83" s="18" t="s">
        <v>110</v>
      </c>
      <c r="P83" s="18" t="s">
        <v>27</v>
      </c>
      <c r="Q83" s="19" t="s">
        <v>28</v>
      </c>
    </row>
    <row r="84" spans="1:17" ht="30" customHeight="1">
      <c r="A84" s="15" t="s">
        <v>349</v>
      </c>
      <c r="B84" s="24" t="s">
        <v>30</v>
      </c>
      <c r="C84" s="18" t="s">
        <v>226</v>
      </c>
      <c r="D84" s="16" t="s">
        <v>1440</v>
      </c>
      <c r="E84" s="25" t="s">
        <v>20</v>
      </c>
      <c r="F84" s="91" t="s">
        <v>105</v>
      </c>
      <c r="G84" s="22" t="s">
        <v>22</v>
      </c>
      <c r="H84" s="22">
        <v>12</v>
      </c>
      <c r="I84" s="92">
        <f t="shared" si="1"/>
        <v>45862</v>
      </c>
      <c r="J84" s="16" t="s">
        <v>227</v>
      </c>
      <c r="K84" s="25">
        <v>2014</v>
      </c>
      <c r="L84" s="20">
        <v>1850</v>
      </c>
      <c r="M84" s="32">
        <v>164429</v>
      </c>
      <c r="N84" s="16" t="s">
        <v>228</v>
      </c>
      <c r="O84" s="18" t="s">
        <v>110</v>
      </c>
      <c r="P84" s="18" t="s">
        <v>27</v>
      </c>
      <c r="Q84" s="19" t="s">
        <v>28</v>
      </c>
    </row>
    <row r="85" spans="1:17" ht="30" customHeight="1">
      <c r="A85" s="15" t="s">
        <v>350</v>
      </c>
      <c r="B85" s="24" t="s">
        <v>239</v>
      </c>
      <c r="C85" s="18" t="s">
        <v>240</v>
      </c>
      <c r="D85" s="16" t="s">
        <v>1440</v>
      </c>
      <c r="E85" s="25" t="s">
        <v>20</v>
      </c>
      <c r="F85" s="91" t="s">
        <v>105</v>
      </c>
      <c r="G85" s="22" t="s">
        <v>22</v>
      </c>
      <c r="H85" s="22">
        <v>12</v>
      </c>
      <c r="I85" s="92">
        <f t="shared" si="1"/>
        <v>45862</v>
      </c>
      <c r="J85" s="16" t="s">
        <v>209</v>
      </c>
      <c r="K85" s="25">
        <v>2014</v>
      </c>
      <c r="L85" s="20" t="s">
        <v>241</v>
      </c>
      <c r="M85" s="32" t="s">
        <v>351</v>
      </c>
      <c r="N85" s="16" t="s">
        <v>243</v>
      </c>
      <c r="O85" s="18" t="s">
        <v>110</v>
      </c>
      <c r="P85" s="18" t="s">
        <v>27</v>
      </c>
      <c r="Q85" s="19" t="s">
        <v>28</v>
      </c>
    </row>
    <row r="86" spans="1:17" ht="30" customHeight="1">
      <c r="A86" s="15" t="s">
        <v>352</v>
      </c>
      <c r="B86" s="24" t="s">
        <v>239</v>
      </c>
      <c r="C86" s="18" t="s">
        <v>240</v>
      </c>
      <c r="D86" s="16" t="s">
        <v>1440</v>
      </c>
      <c r="E86" s="25" t="s">
        <v>20</v>
      </c>
      <c r="F86" s="91" t="s">
        <v>105</v>
      </c>
      <c r="G86" s="22" t="s">
        <v>22</v>
      </c>
      <c r="H86" s="22">
        <v>12</v>
      </c>
      <c r="I86" s="92">
        <f t="shared" si="1"/>
        <v>45862</v>
      </c>
      <c r="J86" s="16" t="s">
        <v>209</v>
      </c>
      <c r="K86" s="25">
        <v>2014</v>
      </c>
      <c r="L86" s="20" t="s">
        <v>241</v>
      </c>
      <c r="M86" s="32" t="s">
        <v>353</v>
      </c>
      <c r="N86" s="16" t="s">
        <v>243</v>
      </c>
      <c r="O86" s="18" t="s">
        <v>110</v>
      </c>
      <c r="P86" s="18" t="s">
        <v>27</v>
      </c>
      <c r="Q86" s="19" t="s">
        <v>28</v>
      </c>
    </row>
    <row r="87" spans="1:17" ht="30" customHeight="1">
      <c r="A87" s="15" t="s">
        <v>354</v>
      </c>
      <c r="B87" s="24" t="s">
        <v>239</v>
      </c>
      <c r="C87" s="18" t="s">
        <v>240</v>
      </c>
      <c r="D87" s="16" t="s">
        <v>1440</v>
      </c>
      <c r="E87" s="25" t="s">
        <v>20</v>
      </c>
      <c r="F87" s="91" t="s">
        <v>105</v>
      </c>
      <c r="G87" s="22" t="s">
        <v>22</v>
      </c>
      <c r="H87" s="22">
        <v>12</v>
      </c>
      <c r="I87" s="92">
        <f t="shared" si="1"/>
        <v>45862</v>
      </c>
      <c r="J87" s="16" t="s">
        <v>209</v>
      </c>
      <c r="K87" s="25">
        <v>2014</v>
      </c>
      <c r="L87" s="20" t="s">
        <v>241</v>
      </c>
      <c r="M87" s="32" t="s">
        <v>355</v>
      </c>
      <c r="N87" s="16" t="s">
        <v>243</v>
      </c>
      <c r="O87" s="18" t="s">
        <v>253</v>
      </c>
      <c r="P87" s="18" t="s">
        <v>27</v>
      </c>
      <c r="Q87" s="19" t="s">
        <v>28</v>
      </c>
    </row>
    <row r="88" spans="1:17" ht="30" customHeight="1">
      <c r="A88" s="15" t="s">
        <v>356</v>
      </c>
      <c r="B88" s="24" t="s">
        <v>30</v>
      </c>
      <c r="C88" s="18" t="s">
        <v>357</v>
      </c>
      <c r="D88" s="16" t="s">
        <v>1440</v>
      </c>
      <c r="E88" s="25" t="s">
        <v>20</v>
      </c>
      <c r="F88" s="91" t="s">
        <v>21</v>
      </c>
      <c r="G88" s="22" t="s">
        <v>22</v>
      </c>
      <c r="H88" s="22">
        <v>12</v>
      </c>
      <c r="I88" s="92">
        <f t="shared" si="1"/>
        <v>45861</v>
      </c>
      <c r="J88" s="16" t="s">
        <v>358</v>
      </c>
      <c r="K88" s="25">
        <v>2014</v>
      </c>
      <c r="L88" s="20" t="s">
        <v>359</v>
      </c>
      <c r="M88" s="32" t="s">
        <v>360</v>
      </c>
      <c r="N88" s="16" t="s">
        <v>361</v>
      </c>
      <c r="O88" s="18" t="s">
        <v>26</v>
      </c>
      <c r="P88" s="18" t="s">
        <v>27</v>
      </c>
      <c r="Q88" s="19" t="s">
        <v>28</v>
      </c>
    </row>
    <row r="89" spans="1:17" ht="30" customHeight="1">
      <c r="A89" s="15" t="s">
        <v>362</v>
      </c>
      <c r="B89" s="24" t="s">
        <v>30</v>
      </c>
      <c r="C89" s="18" t="s">
        <v>357</v>
      </c>
      <c r="D89" s="16" t="s">
        <v>1440</v>
      </c>
      <c r="E89" s="25" t="s">
        <v>20</v>
      </c>
      <c r="F89" s="91" t="s">
        <v>21</v>
      </c>
      <c r="G89" s="22" t="s">
        <v>22</v>
      </c>
      <c r="H89" s="22">
        <v>12</v>
      </c>
      <c r="I89" s="92">
        <f t="shared" si="1"/>
        <v>45861</v>
      </c>
      <c r="J89" s="16" t="s">
        <v>358</v>
      </c>
      <c r="K89" s="25">
        <v>2014</v>
      </c>
      <c r="L89" s="20" t="s">
        <v>359</v>
      </c>
      <c r="M89" s="32" t="s">
        <v>363</v>
      </c>
      <c r="N89" s="16" t="s">
        <v>361</v>
      </c>
      <c r="O89" s="18" t="s">
        <v>90</v>
      </c>
      <c r="P89" s="18" t="s">
        <v>27</v>
      </c>
      <c r="Q89" s="19" t="s">
        <v>28</v>
      </c>
    </row>
    <row r="90" spans="1:17" ht="30" customHeight="1">
      <c r="A90" s="15" t="s">
        <v>364</v>
      </c>
      <c r="B90" s="24" t="s">
        <v>30</v>
      </c>
      <c r="C90" s="18" t="s">
        <v>357</v>
      </c>
      <c r="D90" s="16" t="s">
        <v>1440</v>
      </c>
      <c r="E90" s="25" t="s">
        <v>20</v>
      </c>
      <c r="F90" s="91" t="s">
        <v>21</v>
      </c>
      <c r="G90" s="22" t="s">
        <v>22</v>
      </c>
      <c r="H90" s="22">
        <v>12</v>
      </c>
      <c r="I90" s="92">
        <f t="shared" si="1"/>
        <v>45861</v>
      </c>
      <c r="J90" s="16" t="s">
        <v>358</v>
      </c>
      <c r="K90" s="25">
        <v>2014</v>
      </c>
      <c r="L90" s="20" t="s">
        <v>359</v>
      </c>
      <c r="M90" s="32" t="s">
        <v>365</v>
      </c>
      <c r="N90" s="16" t="s">
        <v>361</v>
      </c>
      <c r="O90" s="18" t="s">
        <v>110</v>
      </c>
      <c r="P90" s="18" t="s">
        <v>27</v>
      </c>
      <c r="Q90" s="19" t="s">
        <v>28</v>
      </c>
    </row>
    <row r="91" spans="1:17" ht="30" customHeight="1">
      <c r="A91" s="15" t="s">
        <v>366</v>
      </c>
      <c r="B91" s="24" t="s">
        <v>30</v>
      </c>
      <c r="C91" s="18" t="s">
        <v>130</v>
      </c>
      <c r="D91" s="16" t="s">
        <v>1440</v>
      </c>
      <c r="E91" s="25" t="s">
        <v>20</v>
      </c>
      <c r="F91" s="91" t="s">
        <v>367</v>
      </c>
      <c r="G91" s="22" t="s">
        <v>22</v>
      </c>
      <c r="H91" s="22">
        <v>12</v>
      </c>
      <c r="I91" s="92">
        <f t="shared" si="1"/>
        <v>45864</v>
      </c>
      <c r="J91" s="16" t="s">
        <v>131</v>
      </c>
      <c r="K91" s="25">
        <v>2014</v>
      </c>
      <c r="L91" s="20" t="s">
        <v>132</v>
      </c>
      <c r="M91" s="32" t="s">
        <v>368</v>
      </c>
      <c r="N91" s="16" t="s">
        <v>134</v>
      </c>
      <c r="O91" s="18" t="s">
        <v>253</v>
      </c>
      <c r="P91" s="18" t="s">
        <v>27</v>
      </c>
      <c r="Q91" s="19" t="s">
        <v>28</v>
      </c>
    </row>
    <row r="92" spans="1:17" ht="30" customHeight="1">
      <c r="A92" s="15" t="s">
        <v>369</v>
      </c>
      <c r="B92" s="24" t="s">
        <v>30</v>
      </c>
      <c r="C92" s="18" t="s">
        <v>130</v>
      </c>
      <c r="D92" s="16" t="s">
        <v>1440</v>
      </c>
      <c r="E92" s="25" t="s">
        <v>20</v>
      </c>
      <c r="F92" s="91" t="s">
        <v>21</v>
      </c>
      <c r="G92" s="22" t="s">
        <v>22</v>
      </c>
      <c r="H92" s="22">
        <v>12</v>
      </c>
      <c r="I92" s="92">
        <f t="shared" si="1"/>
        <v>45861</v>
      </c>
      <c r="J92" s="16" t="s">
        <v>131</v>
      </c>
      <c r="K92" s="25">
        <v>2014</v>
      </c>
      <c r="L92" s="20" t="s">
        <v>132</v>
      </c>
      <c r="M92" s="32" t="s">
        <v>370</v>
      </c>
      <c r="N92" s="16" t="s">
        <v>134</v>
      </c>
      <c r="O92" s="18" t="s">
        <v>110</v>
      </c>
      <c r="P92" s="18" t="s">
        <v>27</v>
      </c>
      <c r="Q92" s="19" t="s">
        <v>28</v>
      </c>
    </row>
    <row r="93" spans="1:17" ht="30" customHeight="1">
      <c r="A93" s="15" t="s">
        <v>371</v>
      </c>
      <c r="B93" s="24" t="s">
        <v>30</v>
      </c>
      <c r="C93" s="18" t="s">
        <v>130</v>
      </c>
      <c r="D93" s="16" t="s">
        <v>1440</v>
      </c>
      <c r="E93" s="25" t="s">
        <v>20</v>
      </c>
      <c r="F93" s="91" t="s">
        <v>21</v>
      </c>
      <c r="G93" s="22" t="s">
        <v>22</v>
      </c>
      <c r="H93" s="22">
        <v>12</v>
      </c>
      <c r="I93" s="92">
        <f t="shared" si="1"/>
        <v>45861</v>
      </c>
      <c r="J93" s="16" t="s">
        <v>131</v>
      </c>
      <c r="K93" s="25">
        <v>2014</v>
      </c>
      <c r="L93" s="20" t="s">
        <v>132</v>
      </c>
      <c r="M93" s="32" t="s">
        <v>372</v>
      </c>
      <c r="N93" s="16" t="s">
        <v>134</v>
      </c>
      <c r="O93" s="18" t="s">
        <v>149</v>
      </c>
      <c r="P93" s="18" t="s">
        <v>27</v>
      </c>
      <c r="Q93" s="19" t="s">
        <v>28</v>
      </c>
    </row>
    <row r="94" spans="1:17" ht="30" customHeight="1">
      <c r="A94" s="15" t="s">
        <v>373</v>
      </c>
      <c r="B94" s="24" t="s">
        <v>30</v>
      </c>
      <c r="C94" s="18" t="s">
        <v>374</v>
      </c>
      <c r="D94" s="16" t="s">
        <v>1440</v>
      </c>
      <c r="E94" s="16" t="s">
        <v>32</v>
      </c>
      <c r="F94" s="21" t="s">
        <v>30</v>
      </c>
      <c r="G94" s="21" t="s">
        <v>30</v>
      </c>
      <c r="H94" s="21" t="s">
        <v>30</v>
      </c>
      <c r="I94" s="92" t="str">
        <f t="shared" si="1"/>
        <v>N/A</v>
      </c>
      <c r="J94" s="16" t="s">
        <v>215</v>
      </c>
      <c r="K94" s="25">
        <v>2015</v>
      </c>
      <c r="L94" s="20" t="s">
        <v>375</v>
      </c>
      <c r="M94" s="32" t="s">
        <v>376</v>
      </c>
      <c r="N94" s="16" t="s">
        <v>36</v>
      </c>
      <c r="O94" s="18" t="s">
        <v>26</v>
      </c>
      <c r="P94" s="18" t="s">
        <v>37</v>
      </c>
      <c r="Q94" s="19" t="s">
        <v>28</v>
      </c>
    </row>
    <row r="95" spans="1:17" ht="30" customHeight="1">
      <c r="A95" s="15" t="s">
        <v>377</v>
      </c>
      <c r="B95" s="24" t="s">
        <v>30</v>
      </c>
      <c r="C95" s="18" t="s">
        <v>374</v>
      </c>
      <c r="D95" s="16" t="s">
        <v>1440</v>
      </c>
      <c r="E95" s="16" t="s">
        <v>32</v>
      </c>
      <c r="F95" s="21" t="s">
        <v>30</v>
      </c>
      <c r="G95" s="21" t="s">
        <v>30</v>
      </c>
      <c r="H95" s="21" t="s">
        <v>30</v>
      </c>
      <c r="I95" s="92" t="str">
        <f t="shared" si="1"/>
        <v>N/A</v>
      </c>
      <c r="J95" s="16" t="s">
        <v>215</v>
      </c>
      <c r="K95" s="25">
        <v>2015</v>
      </c>
      <c r="L95" s="20" t="s">
        <v>375</v>
      </c>
      <c r="M95" s="32" t="s">
        <v>378</v>
      </c>
      <c r="N95" s="16" t="s">
        <v>36</v>
      </c>
      <c r="O95" s="18" t="s">
        <v>26</v>
      </c>
      <c r="P95" s="18" t="s">
        <v>37</v>
      </c>
      <c r="Q95" s="19" t="s">
        <v>28</v>
      </c>
    </row>
    <row r="96" spans="1:17" ht="30" customHeight="1">
      <c r="A96" s="15" t="s">
        <v>379</v>
      </c>
      <c r="B96" s="24" t="s">
        <v>30</v>
      </c>
      <c r="C96" s="18" t="s">
        <v>374</v>
      </c>
      <c r="D96" s="16" t="s">
        <v>1440</v>
      </c>
      <c r="E96" s="16" t="s">
        <v>32</v>
      </c>
      <c r="F96" s="21" t="s">
        <v>30</v>
      </c>
      <c r="G96" s="21" t="s">
        <v>30</v>
      </c>
      <c r="H96" s="21" t="s">
        <v>30</v>
      </c>
      <c r="I96" s="92" t="str">
        <f t="shared" si="1"/>
        <v>N/A</v>
      </c>
      <c r="J96" s="16" t="s">
        <v>215</v>
      </c>
      <c r="K96" s="25">
        <v>2015</v>
      </c>
      <c r="L96" s="20" t="s">
        <v>380</v>
      </c>
      <c r="M96" s="32" t="s">
        <v>380</v>
      </c>
      <c r="N96" s="16" t="s">
        <v>36</v>
      </c>
      <c r="O96" s="18" t="s">
        <v>26</v>
      </c>
      <c r="P96" s="18" t="s">
        <v>37</v>
      </c>
      <c r="Q96" s="19" t="s">
        <v>28</v>
      </c>
    </row>
    <row r="97" spans="1:17" ht="30" customHeight="1">
      <c r="A97" s="15" t="s">
        <v>381</v>
      </c>
      <c r="B97" s="24" t="s">
        <v>382</v>
      </c>
      <c r="C97" s="18" t="s">
        <v>221</v>
      </c>
      <c r="D97" s="16" t="s">
        <v>1440</v>
      </c>
      <c r="E97" s="25" t="s">
        <v>20</v>
      </c>
      <c r="F97" s="91" t="s">
        <v>383</v>
      </c>
      <c r="G97" s="22" t="s">
        <v>22</v>
      </c>
      <c r="H97" s="22">
        <v>12</v>
      </c>
      <c r="I97" s="92">
        <f t="shared" si="1"/>
        <v>46024</v>
      </c>
      <c r="J97" s="16" t="s">
        <v>209</v>
      </c>
      <c r="K97" s="25">
        <v>2015</v>
      </c>
      <c r="L97" s="20" t="s">
        <v>222</v>
      </c>
      <c r="M97" s="32" t="s">
        <v>384</v>
      </c>
      <c r="N97" s="16" t="s">
        <v>385</v>
      </c>
      <c r="O97" s="18" t="s">
        <v>253</v>
      </c>
      <c r="P97" s="18" t="s">
        <v>27</v>
      </c>
      <c r="Q97" s="19" t="s">
        <v>28</v>
      </c>
    </row>
    <row r="98" spans="1:17" ht="30" customHeight="1">
      <c r="A98" s="15" t="s">
        <v>386</v>
      </c>
      <c r="B98" s="24" t="s">
        <v>387</v>
      </c>
      <c r="C98" s="18" t="s">
        <v>176</v>
      </c>
      <c r="D98" s="16" t="s">
        <v>1440</v>
      </c>
      <c r="E98" s="25" t="s">
        <v>20</v>
      </c>
      <c r="F98" s="91" t="s">
        <v>85</v>
      </c>
      <c r="G98" s="22" t="s">
        <v>22</v>
      </c>
      <c r="H98" s="22">
        <v>12</v>
      </c>
      <c r="I98" s="92">
        <f t="shared" si="1"/>
        <v>45860</v>
      </c>
      <c r="J98" s="16" t="s">
        <v>23</v>
      </c>
      <c r="K98" s="25">
        <v>2015</v>
      </c>
      <c r="L98" s="20" t="s">
        <v>24</v>
      </c>
      <c r="M98" s="32">
        <v>100457</v>
      </c>
      <c r="N98" s="16" t="s">
        <v>25</v>
      </c>
      <c r="O98" s="18" t="s">
        <v>90</v>
      </c>
      <c r="P98" s="18" t="s">
        <v>27</v>
      </c>
      <c r="Q98" s="19" t="s">
        <v>28</v>
      </c>
    </row>
    <row r="99" spans="1:17" ht="30" customHeight="1">
      <c r="A99" s="15" t="s">
        <v>388</v>
      </c>
      <c r="B99" s="24" t="s">
        <v>389</v>
      </c>
      <c r="C99" s="18" t="s">
        <v>66</v>
      </c>
      <c r="D99" s="16" t="s">
        <v>1440</v>
      </c>
      <c r="E99" s="25" t="s">
        <v>20</v>
      </c>
      <c r="F99" s="91" t="s">
        <v>85</v>
      </c>
      <c r="G99" s="22" t="s">
        <v>22</v>
      </c>
      <c r="H99" s="22">
        <v>12</v>
      </c>
      <c r="I99" s="92">
        <f t="shared" si="1"/>
        <v>45860</v>
      </c>
      <c r="J99" s="16" t="s">
        <v>67</v>
      </c>
      <c r="K99" s="25">
        <v>2015</v>
      </c>
      <c r="L99" s="20" t="s">
        <v>68</v>
      </c>
      <c r="M99" s="32">
        <v>351741</v>
      </c>
      <c r="N99" s="16" t="s">
        <v>70</v>
      </c>
      <c r="O99" s="18" t="s">
        <v>90</v>
      </c>
      <c r="P99" s="18" t="s">
        <v>27</v>
      </c>
      <c r="Q99" s="19" t="s">
        <v>28</v>
      </c>
    </row>
    <row r="100" spans="1:17" ht="30" customHeight="1">
      <c r="A100" s="15" t="s">
        <v>390</v>
      </c>
      <c r="B100" s="24" t="s">
        <v>30</v>
      </c>
      <c r="C100" s="18" t="s">
        <v>84</v>
      </c>
      <c r="D100" s="16" t="s">
        <v>1440</v>
      </c>
      <c r="E100" s="25" t="s">
        <v>20</v>
      </c>
      <c r="F100" s="91" t="s">
        <v>21</v>
      </c>
      <c r="G100" s="22" t="s">
        <v>22</v>
      </c>
      <c r="H100" s="22">
        <v>12</v>
      </c>
      <c r="I100" s="92">
        <f t="shared" si="1"/>
        <v>45861</v>
      </c>
      <c r="J100" s="16" t="s">
        <v>86</v>
      </c>
      <c r="K100" s="25">
        <v>2015</v>
      </c>
      <c r="L100" s="20" t="s">
        <v>391</v>
      </c>
      <c r="M100" s="32" t="s">
        <v>392</v>
      </c>
      <c r="N100" s="16" t="s">
        <v>393</v>
      </c>
      <c r="O100" s="18" t="s">
        <v>90</v>
      </c>
      <c r="P100" s="18" t="s">
        <v>27</v>
      </c>
      <c r="Q100" s="19" t="s">
        <v>28</v>
      </c>
    </row>
    <row r="101" spans="1:17" ht="30" customHeight="1">
      <c r="A101" s="15" t="s">
        <v>394</v>
      </c>
      <c r="B101" s="24" t="s">
        <v>30</v>
      </c>
      <c r="C101" s="18" t="s">
        <v>84</v>
      </c>
      <c r="D101" s="16" t="s">
        <v>1440</v>
      </c>
      <c r="E101" s="25" t="s">
        <v>20</v>
      </c>
      <c r="F101" s="91" t="s">
        <v>21</v>
      </c>
      <c r="G101" s="22" t="s">
        <v>22</v>
      </c>
      <c r="H101" s="22">
        <v>12</v>
      </c>
      <c r="I101" s="92">
        <f t="shared" si="1"/>
        <v>45861</v>
      </c>
      <c r="J101" s="16" t="s">
        <v>86</v>
      </c>
      <c r="K101" s="25">
        <v>2015</v>
      </c>
      <c r="L101" s="20" t="s">
        <v>391</v>
      </c>
      <c r="M101" s="32" t="s">
        <v>395</v>
      </c>
      <c r="N101" s="16" t="s">
        <v>393</v>
      </c>
      <c r="O101" s="18" t="s">
        <v>90</v>
      </c>
      <c r="P101" s="18" t="s">
        <v>27</v>
      </c>
      <c r="Q101" s="19" t="s">
        <v>28</v>
      </c>
    </row>
    <row r="102" spans="1:17" ht="30" customHeight="1">
      <c r="A102" s="15" t="s">
        <v>396</v>
      </c>
      <c r="B102" s="24" t="s">
        <v>30</v>
      </c>
      <c r="C102" s="18" t="s">
        <v>84</v>
      </c>
      <c r="D102" s="16" t="s">
        <v>1440</v>
      </c>
      <c r="E102" s="25" t="s">
        <v>20</v>
      </c>
      <c r="F102" s="91" t="s">
        <v>21</v>
      </c>
      <c r="G102" s="22" t="s">
        <v>22</v>
      </c>
      <c r="H102" s="22">
        <v>12</v>
      </c>
      <c r="I102" s="92">
        <f t="shared" si="1"/>
        <v>45861</v>
      </c>
      <c r="J102" s="16" t="s">
        <v>86</v>
      </c>
      <c r="K102" s="25">
        <v>2015</v>
      </c>
      <c r="L102" s="20" t="s">
        <v>397</v>
      </c>
      <c r="M102" s="32" t="s">
        <v>398</v>
      </c>
      <c r="N102" s="16" t="s">
        <v>399</v>
      </c>
      <c r="O102" s="18" t="s">
        <v>90</v>
      </c>
      <c r="P102" s="18" t="s">
        <v>27</v>
      </c>
      <c r="Q102" s="19" t="s">
        <v>28</v>
      </c>
    </row>
    <row r="103" spans="1:17" ht="30" customHeight="1">
      <c r="A103" s="15" t="s">
        <v>400</v>
      </c>
      <c r="B103" s="24" t="s">
        <v>30</v>
      </c>
      <c r="C103" s="18" t="s">
        <v>84</v>
      </c>
      <c r="D103" s="16" t="s">
        <v>1440</v>
      </c>
      <c r="E103" s="25" t="s">
        <v>20</v>
      </c>
      <c r="F103" s="91" t="s">
        <v>21</v>
      </c>
      <c r="G103" s="22" t="s">
        <v>22</v>
      </c>
      <c r="H103" s="22">
        <v>12</v>
      </c>
      <c r="I103" s="92">
        <f t="shared" si="1"/>
        <v>45861</v>
      </c>
      <c r="J103" s="16" t="s">
        <v>86</v>
      </c>
      <c r="K103" s="25">
        <v>2015</v>
      </c>
      <c r="L103" s="20" t="s">
        <v>397</v>
      </c>
      <c r="M103" s="32" t="s">
        <v>401</v>
      </c>
      <c r="N103" s="16" t="s">
        <v>399</v>
      </c>
      <c r="O103" s="18" t="s">
        <v>90</v>
      </c>
      <c r="P103" s="18" t="s">
        <v>27</v>
      </c>
      <c r="Q103" s="19" t="s">
        <v>28</v>
      </c>
    </row>
    <row r="104" spans="1:17" ht="30" customHeight="1">
      <c r="A104" s="15" t="s">
        <v>402</v>
      </c>
      <c r="B104" s="24" t="s">
        <v>30</v>
      </c>
      <c r="C104" s="18" t="s">
        <v>84</v>
      </c>
      <c r="D104" s="16" t="s">
        <v>1440</v>
      </c>
      <c r="E104" s="25" t="s">
        <v>20</v>
      </c>
      <c r="F104" s="91" t="s">
        <v>105</v>
      </c>
      <c r="G104" s="22" t="s">
        <v>22</v>
      </c>
      <c r="H104" s="22">
        <v>12</v>
      </c>
      <c r="I104" s="92">
        <f t="shared" si="1"/>
        <v>45862</v>
      </c>
      <c r="J104" s="16" t="s">
        <v>86</v>
      </c>
      <c r="K104" s="25">
        <v>2015</v>
      </c>
      <c r="L104" s="20" t="s">
        <v>403</v>
      </c>
      <c r="M104" s="32" t="s">
        <v>404</v>
      </c>
      <c r="N104" s="16" t="s">
        <v>405</v>
      </c>
      <c r="O104" s="18" t="s">
        <v>90</v>
      </c>
      <c r="P104" s="18" t="s">
        <v>27</v>
      </c>
      <c r="Q104" s="19" t="s">
        <v>28</v>
      </c>
    </row>
    <row r="105" spans="1:17" ht="30" customHeight="1">
      <c r="A105" s="15" t="s">
        <v>406</v>
      </c>
      <c r="B105" s="24" t="s">
        <v>30</v>
      </c>
      <c r="C105" s="18" t="s">
        <v>84</v>
      </c>
      <c r="D105" s="16" t="s">
        <v>1440</v>
      </c>
      <c r="E105" s="25" t="s">
        <v>20</v>
      </c>
      <c r="F105" s="91" t="s">
        <v>105</v>
      </c>
      <c r="G105" s="22" t="s">
        <v>22</v>
      </c>
      <c r="H105" s="22">
        <v>12</v>
      </c>
      <c r="I105" s="92">
        <f t="shared" si="1"/>
        <v>45862</v>
      </c>
      <c r="J105" s="16" t="s">
        <v>86</v>
      </c>
      <c r="K105" s="25">
        <v>2015</v>
      </c>
      <c r="L105" s="20" t="s">
        <v>403</v>
      </c>
      <c r="M105" s="32" t="s">
        <v>407</v>
      </c>
      <c r="N105" s="16" t="s">
        <v>405</v>
      </c>
      <c r="O105" s="18" t="s">
        <v>90</v>
      </c>
      <c r="P105" s="18" t="s">
        <v>27</v>
      </c>
      <c r="Q105" s="19" t="s">
        <v>28</v>
      </c>
    </row>
    <row r="106" spans="1:17" ht="30" customHeight="1">
      <c r="A106" s="15" t="s">
        <v>408</v>
      </c>
      <c r="B106" s="24" t="s">
        <v>409</v>
      </c>
      <c r="C106" s="18" t="s">
        <v>139</v>
      </c>
      <c r="D106" s="16" t="s">
        <v>1440</v>
      </c>
      <c r="E106" s="16" t="s">
        <v>32</v>
      </c>
      <c r="F106" s="23" t="s">
        <v>30</v>
      </c>
      <c r="G106" s="23" t="s">
        <v>30</v>
      </c>
      <c r="H106" s="23" t="s">
        <v>30</v>
      </c>
      <c r="I106" s="92" t="str">
        <f t="shared" si="1"/>
        <v>N/A</v>
      </c>
      <c r="J106" s="16" t="s">
        <v>140</v>
      </c>
      <c r="K106" s="25">
        <v>2015</v>
      </c>
      <c r="L106" s="20" t="s">
        <v>141</v>
      </c>
      <c r="M106" s="32" t="s">
        <v>36</v>
      </c>
      <c r="N106" s="16" t="s">
        <v>142</v>
      </c>
      <c r="O106" s="18" t="s">
        <v>90</v>
      </c>
      <c r="P106" s="18" t="s">
        <v>37</v>
      </c>
      <c r="Q106" s="19" t="s">
        <v>28</v>
      </c>
    </row>
    <row r="107" spans="1:17" ht="30" customHeight="1">
      <c r="A107" s="15" t="s">
        <v>410</v>
      </c>
      <c r="B107" s="24" t="s">
        <v>411</v>
      </c>
      <c r="C107" s="18" t="s">
        <v>46</v>
      </c>
      <c r="D107" s="16" t="s">
        <v>1440</v>
      </c>
      <c r="E107" s="25" t="s">
        <v>20</v>
      </c>
      <c r="F107" s="93" t="s">
        <v>47</v>
      </c>
      <c r="G107" s="22" t="s">
        <v>22</v>
      </c>
      <c r="H107" s="22">
        <v>24</v>
      </c>
      <c r="I107" s="92">
        <f t="shared" si="1"/>
        <v>46233</v>
      </c>
      <c r="J107" s="16" t="s">
        <v>48</v>
      </c>
      <c r="K107" s="25">
        <v>2015</v>
      </c>
      <c r="L107" s="16" t="s">
        <v>49</v>
      </c>
      <c r="M107" s="32">
        <v>845</v>
      </c>
      <c r="N107" s="16" t="s">
        <v>412</v>
      </c>
      <c r="O107" s="18" t="s">
        <v>90</v>
      </c>
      <c r="P107" s="18" t="s">
        <v>27</v>
      </c>
      <c r="Q107" s="19" t="s">
        <v>28</v>
      </c>
    </row>
    <row r="108" spans="1:17" ht="30" customHeight="1">
      <c r="A108" s="15" t="s">
        <v>413</v>
      </c>
      <c r="B108" s="24" t="s">
        <v>414</v>
      </c>
      <c r="C108" s="18" t="s">
        <v>304</v>
      </c>
      <c r="D108" s="16" t="s">
        <v>1440</v>
      </c>
      <c r="E108" s="25" t="s">
        <v>20</v>
      </c>
      <c r="F108" s="93">
        <v>45490</v>
      </c>
      <c r="G108" s="22" t="s">
        <v>55</v>
      </c>
      <c r="H108" s="28">
        <v>24</v>
      </c>
      <c r="I108" s="92">
        <f t="shared" si="1"/>
        <v>46220</v>
      </c>
      <c r="J108" s="16" t="s">
        <v>56</v>
      </c>
      <c r="K108" s="25">
        <v>2015</v>
      </c>
      <c r="L108" s="20">
        <v>3115</v>
      </c>
      <c r="M108" s="32" t="s">
        <v>415</v>
      </c>
      <c r="N108" s="16" t="s">
        <v>58</v>
      </c>
      <c r="O108" s="18" t="s">
        <v>26</v>
      </c>
      <c r="P108" s="18" t="s">
        <v>27</v>
      </c>
      <c r="Q108" s="19" t="s">
        <v>28</v>
      </c>
    </row>
    <row r="109" spans="1:17" ht="30" customHeight="1">
      <c r="A109" s="15" t="s">
        <v>416</v>
      </c>
      <c r="B109" s="24" t="s">
        <v>30</v>
      </c>
      <c r="C109" s="18" t="s">
        <v>78</v>
      </c>
      <c r="D109" s="16" t="s">
        <v>1440</v>
      </c>
      <c r="E109" s="16" t="s">
        <v>32</v>
      </c>
      <c r="F109" s="21" t="s">
        <v>30</v>
      </c>
      <c r="G109" s="21" t="s">
        <v>30</v>
      </c>
      <c r="H109" s="21" t="s">
        <v>30</v>
      </c>
      <c r="I109" s="92" t="str">
        <f t="shared" si="1"/>
        <v>N/A</v>
      </c>
      <c r="J109" s="16" t="s">
        <v>41</v>
      </c>
      <c r="K109" s="25">
        <v>2015</v>
      </c>
      <c r="L109" s="20" t="s">
        <v>79</v>
      </c>
      <c r="M109" s="32" t="s">
        <v>417</v>
      </c>
      <c r="N109" s="16" t="s">
        <v>36</v>
      </c>
      <c r="O109" s="18" t="s">
        <v>90</v>
      </c>
      <c r="P109" s="18" t="s">
        <v>37</v>
      </c>
      <c r="Q109" s="19" t="s">
        <v>28</v>
      </c>
    </row>
    <row r="110" spans="1:17" ht="30" customHeight="1">
      <c r="A110" s="15" t="s">
        <v>418</v>
      </c>
      <c r="B110" s="24" t="s">
        <v>30</v>
      </c>
      <c r="C110" s="18" t="s">
        <v>78</v>
      </c>
      <c r="D110" s="16" t="s">
        <v>1440</v>
      </c>
      <c r="E110" s="16" t="s">
        <v>32</v>
      </c>
      <c r="F110" s="21" t="s">
        <v>30</v>
      </c>
      <c r="G110" s="21" t="s">
        <v>30</v>
      </c>
      <c r="H110" s="21" t="s">
        <v>30</v>
      </c>
      <c r="I110" s="92" t="str">
        <f t="shared" si="1"/>
        <v>N/A</v>
      </c>
      <c r="J110" s="16" t="s">
        <v>41</v>
      </c>
      <c r="K110" s="25">
        <v>2015</v>
      </c>
      <c r="L110" s="20" t="s">
        <v>82</v>
      </c>
      <c r="M110" s="32" t="s">
        <v>419</v>
      </c>
      <c r="N110" s="16" t="s">
        <v>36</v>
      </c>
      <c r="O110" s="18" t="s">
        <v>90</v>
      </c>
      <c r="P110" s="18" t="s">
        <v>37</v>
      </c>
      <c r="Q110" s="19" t="s">
        <v>28</v>
      </c>
    </row>
    <row r="111" spans="1:17" ht="30" customHeight="1">
      <c r="A111" s="15" t="s">
        <v>420</v>
      </c>
      <c r="B111" s="24" t="s">
        <v>421</v>
      </c>
      <c r="C111" s="18" t="s">
        <v>40</v>
      </c>
      <c r="D111" s="16" t="s">
        <v>1440</v>
      </c>
      <c r="E111" s="16" t="s">
        <v>32</v>
      </c>
      <c r="F111" s="21" t="s">
        <v>30</v>
      </c>
      <c r="G111" s="21" t="s">
        <v>30</v>
      </c>
      <c r="H111" s="21" t="s">
        <v>30</v>
      </c>
      <c r="I111" s="92" t="str">
        <f t="shared" si="1"/>
        <v>N/A</v>
      </c>
      <c r="J111" s="16" t="s">
        <v>41</v>
      </c>
      <c r="K111" s="25">
        <v>2015</v>
      </c>
      <c r="L111" s="20" t="s">
        <v>42</v>
      </c>
      <c r="M111" s="32" t="s">
        <v>422</v>
      </c>
      <c r="N111" s="16" t="s">
        <v>36</v>
      </c>
      <c r="O111" s="18" t="s">
        <v>90</v>
      </c>
      <c r="P111" s="18" t="s">
        <v>37</v>
      </c>
      <c r="Q111" s="19" t="s">
        <v>28</v>
      </c>
    </row>
    <row r="112" spans="1:17" ht="30" customHeight="1">
      <c r="A112" s="15" t="s">
        <v>423</v>
      </c>
      <c r="B112" s="24" t="s">
        <v>409</v>
      </c>
      <c r="C112" s="18" t="s">
        <v>75</v>
      </c>
      <c r="D112" s="16" t="s">
        <v>1440</v>
      </c>
      <c r="E112" s="16" t="s">
        <v>32</v>
      </c>
      <c r="F112" s="21" t="s">
        <v>30</v>
      </c>
      <c r="G112" s="21" t="s">
        <v>30</v>
      </c>
      <c r="H112" s="21" t="s">
        <v>30</v>
      </c>
      <c r="I112" s="92" t="str">
        <f t="shared" si="1"/>
        <v>N/A</v>
      </c>
      <c r="J112" s="16" t="s">
        <v>140</v>
      </c>
      <c r="K112" s="25">
        <v>2015</v>
      </c>
      <c r="L112" s="20" t="s">
        <v>76</v>
      </c>
      <c r="M112" s="32" t="s">
        <v>36</v>
      </c>
      <c r="N112" s="16" t="s">
        <v>36</v>
      </c>
      <c r="O112" s="18" t="s">
        <v>90</v>
      </c>
      <c r="P112" s="18" t="s">
        <v>37</v>
      </c>
      <c r="Q112" s="19" t="s">
        <v>28</v>
      </c>
    </row>
    <row r="113" spans="1:17" ht="30" customHeight="1">
      <c r="A113" s="15" t="s">
        <v>424</v>
      </c>
      <c r="B113" s="24" t="s">
        <v>409</v>
      </c>
      <c r="C113" s="18" t="s">
        <v>72</v>
      </c>
      <c r="D113" s="16" t="s">
        <v>1440</v>
      </c>
      <c r="E113" s="16" t="s">
        <v>32</v>
      </c>
      <c r="F113" s="21" t="s">
        <v>30</v>
      </c>
      <c r="G113" s="21" t="s">
        <v>30</v>
      </c>
      <c r="H113" s="21" t="s">
        <v>30</v>
      </c>
      <c r="I113" s="92" t="str">
        <f t="shared" si="1"/>
        <v>N/A</v>
      </c>
      <c r="J113" s="16" t="s">
        <v>41</v>
      </c>
      <c r="K113" s="25">
        <v>2015</v>
      </c>
      <c r="L113" s="20" t="s">
        <v>73</v>
      </c>
      <c r="M113" s="32" t="s">
        <v>36</v>
      </c>
      <c r="N113" s="16" t="s">
        <v>36</v>
      </c>
      <c r="O113" s="18" t="s">
        <v>90</v>
      </c>
      <c r="P113" s="18" t="s">
        <v>37</v>
      </c>
      <c r="Q113" s="19" t="s">
        <v>28</v>
      </c>
    </row>
    <row r="114" spans="1:17" ht="30" customHeight="1">
      <c r="A114" s="15" t="s">
        <v>425</v>
      </c>
      <c r="B114" s="24" t="s">
        <v>30</v>
      </c>
      <c r="C114" s="18" t="s">
        <v>426</v>
      </c>
      <c r="D114" s="16" t="s">
        <v>1440</v>
      </c>
      <c r="E114" s="25" t="s">
        <v>20</v>
      </c>
      <c r="F114" s="91" t="s">
        <v>105</v>
      </c>
      <c r="G114" s="22" t="s">
        <v>22</v>
      </c>
      <c r="H114" s="22">
        <v>12</v>
      </c>
      <c r="I114" s="92">
        <f t="shared" si="1"/>
        <v>45862</v>
      </c>
      <c r="J114" s="16" t="s">
        <v>86</v>
      </c>
      <c r="K114" s="25">
        <v>2015</v>
      </c>
      <c r="L114" s="20" t="s">
        <v>427</v>
      </c>
      <c r="M114" s="32" t="s">
        <v>428</v>
      </c>
      <c r="N114" s="16" t="s">
        <v>429</v>
      </c>
      <c r="O114" s="18" t="s">
        <v>26</v>
      </c>
      <c r="P114" s="18" t="s">
        <v>27</v>
      </c>
      <c r="Q114" s="19" t="s">
        <v>28</v>
      </c>
    </row>
    <row r="115" spans="1:17" ht="30" customHeight="1">
      <c r="A115" s="15" t="s">
        <v>430</v>
      </c>
      <c r="B115" s="24" t="s">
        <v>30</v>
      </c>
      <c r="C115" s="18" t="s">
        <v>426</v>
      </c>
      <c r="D115" s="16" t="s">
        <v>1440</v>
      </c>
      <c r="E115" s="25" t="s">
        <v>20</v>
      </c>
      <c r="F115" s="91" t="s">
        <v>105</v>
      </c>
      <c r="G115" s="22" t="s">
        <v>22</v>
      </c>
      <c r="H115" s="22">
        <v>12</v>
      </c>
      <c r="I115" s="92">
        <f t="shared" si="1"/>
        <v>45862</v>
      </c>
      <c r="J115" s="16" t="s">
        <v>86</v>
      </c>
      <c r="K115" s="25">
        <v>2015</v>
      </c>
      <c r="L115" s="20" t="s">
        <v>427</v>
      </c>
      <c r="M115" s="32" t="s">
        <v>431</v>
      </c>
      <c r="N115" s="16" t="s">
        <v>429</v>
      </c>
      <c r="O115" s="18" t="s">
        <v>26</v>
      </c>
      <c r="P115" s="18" t="s">
        <v>27</v>
      </c>
      <c r="Q115" s="19" t="s">
        <v>28</v>
      </c>
    </row>
    <row r="116" spans="1:17" ht="30" customHeight="1">
      <c r="A116" s="15" t="s">
        <v>432</v>
      </c>
      <c r="B116" s="24" t="s">
        <v>30</v>
      </c>
      <c r="C116" s="18" t="s">
        <v>426</v>
      </c>
      <c r="D116" s="16" t="s">
        <v>1440</v>
      </c>
      <c r="E116" s="25" t="s">
        <v>20</v>
      </c>
      <c r="F116" s="91" t="s">
        <v>21</v>
      </c>
      <c r="G116" s="22" t="s">
        <v>22</v>
      </c>
      <c r="H116" s="22">
        <v>12</v>
      </c>
      <c r="I116" s="92">
        <f t="shared" si="1"/>
        <v>45861</v>
      </c>
      <c r="J116" s="16" t="s">
        <v>86</v>
      </c>
      <c r="K116" s="25">
        <v>2015</v>
      </c>
      <c r="L116" s="20" t="s">
        <v>433</v>
      </c>
      <c r="M116" s="32" t="s">
        <v>434</v>
      </c>
      <c r="N116" s="16" t="s">
        <v>435</v>
      </c>
      <c r="O116" s="18" t="s">
        <v>26</v>
      </c>
      <c r="P116" s="18" t="s">
        <v>27</v>
      </c>
      <c r="Q116" s="19" t="s">
        <v>28</v>
      </c>
    </row>
    <row r="117" spans="1:17" ht="30" customHeight="1">
      <c r="A117" s="15" t="s">
        <v>436</v>
      </c>
      <c r="B117" s="24" t="s">
        <v>30</v>
      </c>
      <c r="C117" s="18" t="s">
        <v>426</v>
      </c>
      <c r="D117" s="16" t="s">
        <v>1440</v>
      </c>
      <c r="E117" s="25" t="s">
        <v>20</v>
      </c>
      <c r="F117" s="91" t="s">
        <v>105</v>
      </c>
      <c r="G117" s="22" t="s">
        <v>22</v>
      </c>
      <c r="H117" s="22">
        <v>12</v>
      </c>
      <c r="I117" s="92">
        <f t="shared" si="1"/>
        <v>45862</v>
      </c>
      <c r="J117" s="16" t="s">
        <v>86</v>
      </c>
      <c r="K117" s="25">
        <v>2015</v>
      </c>
      <c r="L117" s="20" t="s">
        <v>433</v>
      </c>
      <c r="M117" s="32" t="s">
        <v>437</v>
      </c>
      <c r="N117" s="16" t="s">
        <v>435</v>
      </c>
      <c r="O117" s="18" t="s">
        <v>26</v>
      </c>
      <c r="P117" s="18" t="s">
        <v>27</v>
      </c>
      <c r="Q117" s="19" t="s">
        <v>28</v>
      </c>
    </row>
    <row r="118" spans="1:17" ht="30" customHeight="1">
      <c r="A118" s="15" t="s">
        <v>438</v>
      </c>
      <c r="B118" s="24" t="s">
        <v>30</v>
      </c>
      <c r="C118" s="18" t="s">
        <v>426</v>
      </c>
      <c r="D118" s="16" t="s">
        <v>1440</v>
      </c>
      <c r="E118" s="25" t="s">
        <v>20</v>
      </c>
      <c r="F118" s="91" t="s">
        <v>21</v>
      </c>
      <c r="G118" s="22" t="s">
        <v>22</v>
      </c>
      <c r="H118" s="22">
        <v>12</v>
      </c>
      <c r="I118" s="92">
        <f t="shared" si="1"/>
        <v>45861</v>
      </c>
      <c r="J118" s="16" t="s">
        <v>86</v>
      </c>
      <c r="K118" s="25">
        <v>2015</v>
      </c>
      <c r="L118" s="20" t="s">
        <v>439</v>
      </c>
      <c r="M118" s="32" t="s">
        <v>440</v>
      </c>
      <c r="N118" s="16" t="s">
        <v>441</v>
      </c>
      <c r="O118" s="18" t="s">
        <v>26</v>
      </c>
      <c r="P118" s="18" t="s">
        <v>27</v>
      </c>
      <c r="Q118" s="19" t="s">
        <v>28</v>
      </c>
    </row>
    <row r="119" spans="1:17" ht="30" customHeight="1">
      <c r="A119" s="15" t="s">
        <v>442</v>
      </c>
      <c r="B119" s="24" t="s">
        <v>30</v>
      </c>
      <c r="C119" s="18" t="s">
        <v>426</v>
      </c>
      <c r="D119" s="16" t="s">
        <v>1440</v>
      </c>
      <c r="E119" s="25" t="s">
        <v>20</v>
      </c>
      <c r="F119" s="91" t="s">
        <v>21</v>
      </c>
      <c r="G119" s="22" t="s">
        <v>22</v>
      </c>
      <c r="H119" s="22">
        <v>12</v>
      </c>
      <c r="I119" s="92">
        <f t="shared" si="1"/>
        <v>45861</v>
      </c>
      <c r="J119" s="16" t="s">
        <v>86</v>
      </c>
      <c r="K119" s="25">
        <v>2015</v>
      </c>
      <c r="L119" s="20" t="s">
        <v>439</v>
      </c>
      <c r="M119" s="32" t="s">
        <v>443</v>
      </c>
      <c r="N119" s="16" t="s">
        <v>441</v>
      </c>
      <c r="O119" s="18" t="s">
        <v>26</v>
      </c>
      <c r="P119" s="18" t="s">
        <v>27</v>
      </c>
      <c r="Q119" s="19" t="s">
        <v>28</v>
      </c>
    </row>
    <row r="120" spans="1:17" ht="30" customHeight="1">
      <c r="A120" s="15" t="s">
        <v>444</v>
      </c>
      <c r="B120" s="24" t="s">
        <v>30</v>
      </c>
      <c r="C120" s="18" t="s">
        <v>426</v>
      </c>
      <c r="D120" s="16" t="s">
        <v>1440</v>
      </c>
      <c r="E120" s="25" t="s">
        <v>20</v>
      </c>
      <c r="F120" s="91" t="s">
        <v>21</v>
      </c>
      <c r="G120" s="22" t="s">
        <v>22</v>
      </c>
      <c r="H120" s="22">
        <v>12</v>
      </c>
      <c r="I120" s="92">
        <f t="shared" si="1"/>
        <v>45861</v>
      </c>
      <c r="J120" s="16" t="s">
        <v>86</v>
      </c>
      <c r="K120" s="25">
        <v>2015</v>
      </c>
      <c r="L120" s="20" t="s">
        <v>445</v>
      </c>
      <c r="M120" s="32" t="s">
        <v>446</v>
      </c>
      <c r="N120" s="16" t="s">
        <v>447</v>
      </c>
      <c r="O120" s="18" t="s">
        <v>26</v>
      </c>
      <c r="P120" s="18" t="s">
        <v>27</v>
      </c>
      <c r="Q120" s="19" t="s">
        <v>28</v>
      </c>
    </row>
    <row r="121" spans="1:17" ht="30" customHeight="1">
      <c r="A121" s="15" t="s">
        <v>448</v>
      </c>
      <c r="B121" s="24" t="s">
        <v>30</v>
      </c>
      <c r="C121" s="18" t="s">
        <v>426</v>
      </c>
      <c r="D121" s="16" t="s">
        <v>1440</v>
      </c>
      <c r="E121" s="25" t="s">
        <v>20</v>
      </c>
      <c r="F121" s="91" t="s">
        <v>105</v>
      </c>
      <c r="G121" s="22" t="s">
        <v>22</v>
      </c>
      <c r="H121" s="22">
        <v>12</v>
      </c>
      <c r="I121" s="92">
        <f t="shared" si="1"/>
        <v>45862</v>
      </c>
      <c r="J121" s="16" t="s">
        <v>86</v>
      </c>
      <c r="K121" s="25">
        <v>2015</v>
      </c>
      <c r="L121" s="20" t="s">
        <v>445</v>
      </c>
      <c r="M121" s="32" t="s">
        <v>440</v>
      </c>
      <c r="N121" s="16" t="s">
        <v>447</v>
      </c>
      <c r="O121" s="18" t="s">
        <v>26</v>
      </c>
      <c r="P121" s="18" t="s">
        <v>27</v>
      </c>
      <c r="Q121" s="19" t="s">
        <v>28</v>
      </c>
    </row>
    <row r="122" spans="1:17" ht="30" customHeight="1">
      <c r="A122" s="15" t="s">
        <v>449</v>
      </c>
      <c r="B122" s="24" t="s">
        <v>30</v>
      </c>
      <c r="C122" s="18" t="s">
        <v>426</v>
      </c>
      <c r="D122" s="16" t="s">
        <v>1440</v>
      </c>
      <c r="E122" s="25" t="s">
        <v>20</v>
      </c>
      <c r="F122" s="91" t="s">
        <v>105</v>
      </c>
      <c r="G122" s="22" t="s">
        <v>22</v>
      </c>
      <c r="H122" s="22">
        <v>12</v>
      </c>
      <c r="I122" s="92">
        <f t="shared" si="1"/>
        <v>45862</v>
      </c>
      <c r="J122" s="16" t="s">
        <v>86</v>
      </c>
      <c r="K122" s="25">
        <v>2015</v>
      </c>
      <c r="L122" s="20" t="s">
        <v>450</v>
      </c>
      <c r="M122" s="32" t="s">
        <v>446</v>
      </c>
      <c r="N122" s="16" t="s">
        <v>451</v>
      </c>
      <c r="O122" s="18" t="s">
        <v>26</v>
      </c>
      <c r="P122" s="18" t="s">
        <v>27</v>
      </c>
      <c r="Q122" s="19" t="s">
        <v>28</v>
      </c>
    </row>
    <row r="123" spans="1:17" ht="30" customHeight="1">
      <c r="A123" s="15" t="s">
        <v>452</v>
      </c>
      <c r="B123" s="24" t="s">
        <v>30</v>
      </c>
      <c r="C123" s="18" t="s">
        <v>426</v>
      </c>
      <c r="D123" s="16" t="s">
        <v>1440</v>
      </c>
      <c r="E123" s="25" t="s">
        <v>20</v>
      </c>
      <c r="F123" s="91" t="s">
        <v>105</v>
      </c>
      <c r="G123" s="22" t="s">
        <v>22</v>
      </c>
      <c r="H123" s="22">
        <v>12</v>
      </c>
      <c r="I123" s="92">
        <f t="shared" si="1"/>
        <v>45862</v>
      </c>
      <c r="J123" s="16" t="s">
        <v>86</v>
      </c>
      <c r="K123" s="25">
        <v>2015</v>
      </c>
      <c r="L123" s="20" t="s">
        <v>450</v>
      </c>
      <c r="M123" s="32" t="s">
        <v>440</v>
      </c>
      <c r="N123" s="16" t="s">
        <v>451</v>
      </c>
      <c r="O123" s="18" t="s">
        <v>26</v>
      </c>
      <c r="P123" s="18" t="s">
        <v>27</v>
      </c>
      <c r="Q123" s="19" t="s">
        <v>28</v>
      </c>
    </row>
    <row r="124" spans="1:17" ht="30" customHeight="1">
      <c r="A124" s="15" t="s">
        <v>453</v>
      </c>
      <c r="B124" s="24" t="s">
        <v>30</v>
      </c>
      <c r="C124" s="18" t="s">
        <v>426</v>
      </c>
      <c r="D124" s="16" t="s">
        <v>1440</v>
      </c>
      <c r="E124" s="25" t="s">
        <v>20</v>
      </c>
      <c r="F124" s="91" t="s">
        <v>21</v>
      </c>
      <c r="G124" s="22" t="s">
        <v>22</v>
      </c>
      <c r="H124" s="22">
        <v>12</v>
      </c>
      <c r="I124" s="92">
        <f t="shared" si="1"/>
        <v>45861</v>
      </c>
      <c r="J124" s="16" t="s">
        <v>86</v>
      </c>
      <c r="K124" s="25">
        <v>2015</v>
      </c>
      <c r="L124" s="20" t="s">
        <v>454</v>
      </c>
      <c r="M124" s="32" t="s">
        <v>455</v>
      </c>
      <c r="N124" s="16" t="s">
        <v>456</v>
      </c>
      <c r="O124" s="18" t="s">
        <v>26</v>
      </c>
      <c r="P124" s="18" t="s">
        <v>27</v>
      </c>
      <c r="Q124" s="19" t="s">
        <v>28</v>
      </c>
    </row>
    <row r="125" spans="1:17" ht="30" customHeight="1">
      <c r="A125" s="15" t="s">
        <v>457</v>
      </c>
      <c r="B125" s="24" t="s">
        <v>30</v>
      </c>
      <c r="C125" s="18" t="s">
        <v>426</v>
      </c>
      <c r="D125" s="16" t="s">
        <v>1440</v>
      </c>
      <c r="E125" s="25" t="s">
        <v>20</v>
      </c>
      <c r="F125" s="91" t="s">
        <v>105</v>
      </c>
      <c r="G125" s="22" t="s">
        <v>22</v>
      </c>
      <c r="H125" s="22">
        <v>12</v>
      </c>
      <c r="I125" s="92">
        <f t="shared" si="1"/>
        <v>45862</v>
      </c>
      <c r="J125" s="16" t="s">
        <v>86</v>
      </c>
      <c r="K125" s="25">
        <v>2015</v>
      </c>
      <c r="L125" s="20" t="s">
        <v>454</v>
      </c>
      <c r="M125" s="32" t="s">
        <v>458</v>
      </c>
      <c r="N125" s="16" t="s">
        <v>456</v>
      </c>
      <c r="O125" s="18" t="s">
        <v>26</v>
      </c>
      <c r="P125" s="18" t="s">
        <v>27</v>
      </c>
      <c r="Q125" s="19" t="s">
        <v>28</v>
      </c>
    </row>
    <row r="126" spans="1:17" ht="30" customHeight="1">
      <c r="A126" s="15" t="s">
        <v>459</v>
      </c>
      <c r="B126" s="24" t="s">
        <v>30</v>
      </c>
      <c r="C126" s="18" t="s">
        <v>84</v>
      </c>
      <c r="D126" s="16" t="s">
        <v>1440</v>
      </c>
      <c r="E126" s="25" t="s">
        <v>20</v>
      </c>
      <c r="F126" s="91" t="s">
        <v>21</v>
      </c>
      <c r="G126" s="22" t="s">
        <v>22</v>
      </c>
      <c r="H126" s="22">
        <v>12</v>
      </c>
      <c r="I126" s="92">
        <f t="shared" si="1"/>
        <v>45861</v>
      </c>
      <c r="J126" s="16" t="s">
        <v>86</v>
      </c>
      <c r="K126" s="25">
        <v>2015</v>
      </c>
      <c r="L126" s="20" t="s">
        <v>460</v>
      </c>
      <c r="M126" s="32" t="s">
        <v>443</v>
      </c>
      <c r="N126" s="16" t="s">
        <v>461</v>
      </c>
      <c r="O126" s="18" t="s">
        <v>90</v>
      </c>
      <c r="P126" s="18" t="s">
        <v>27</v>
      </c>
      <c r="Q126" s="19" t="s">
        <v>28</v>
      </c>
    </row>
    <row r="127" spans="1:17" ht="30" customHeight="1">
      <c r="A127" s="15" t="s">
        <v>462</v>
      </c>
      <c r="B127" s="24" t="s">
        <v>30</v>
      </c>
      <c r="C127" s="18" t="s">
        <v>84</v>
      </c>
      <c r="D127" s="16" t="s">
        <v>1440</v>
      </c>
      <c r="E127" s="25" t="s">
        <v>20</v>
      </c>
      <c r="F127" s="91" t="s">
        <v>21</v>
      </c>
      <c r="G127" s="22" t="s">
        <v>22</v>
      </c>
      <c r="H127" s="22">
        <v>12</v>
      </c>
      <c r="I127" s="92">
        <f t="shared" si="1"/>
        <v>45861</v>
      </c>
      <c r="J127" s="16" t="s">
        <v>86</v>
      </c>
      <c r="K127" s="25">
        <v>2015</v>
      </c>
      <c r="L127" s="20" t="s">
        <v>463</v>
      </c>
      <c r="M127" s="32" t="s">
        <v>446</v>
      </c>
      <c r="N127" s="16" t="s">
        <v>464</v>
      </c>
      <c r="O127" s="18" t="s">
        <v>26</v>
      </c>
      <c r="P127" s="18" t="s">
        <v>27</v>
      </c>
      <c r="Q127" s="19" t="s">
        <v>28</v>
      </c>
    </row>
    <row r="128" spans="1:17" ht="30" customHeight="1">
      <c r="A128" s="15" t="s">
        <v>465</v>
      </c>
      <c r="B128" s="24" t="s">
        <v>30</v>
      </c>
      <c r="C128" s="18" t="s">
        <v>84</v>
      </c>
      <c r="D128" s="16" t="s">
        <v>1440</v>
      </c>
      <c r="E128" s="25" t="s">
        <v>20</v>
      </c>
      <c r="F128" s="91" t="s">
        <v>21</v>
      </c>
      <c r="G128" s="22" t="s">
        <v>22</v>
      </c>
      <c r="H128" s="22">
        <v>12</v>
      </c>
      <c r="I128" s="92">
        <f t="shared" si="1"/>
        <v>45861</v>
      </c>
      <c r="J128" s="16" t="s">
        <v>86</v>
      </c>
      <c r="K128" s="25">
        <v>2015</v>
      </c>
      <c r="L128" s="20" t="s">
        <v>463</v>
      </c>
      <c r="M128" s="32" t="s">
        <v>440</v>
      </c>
      <c r="N128" s="16" t="s">
        <v>464</v>
      </c>
      <c r="O128" s="18" t="s">
        <v>90</v>
      </c>
      <c r="P128" s="18" t="s">
        <v>27</v>
      </c>
      <c r="Q128" s="19" t="s">
        <v>28</v>
      </c>
    </row>
    <row r="129" spans="1:17" ht="30" customHeight="1">
      <c r="A129" s="15" t="s">
        <v>466</v>
      </c>
      <c r="B129" s="24" t="s">
        <v>30</v>
      </c>
      <c r="C129" s="18" t="s">
        <v>214</v>
      </c>
      <c r="D129" s="16" t="s">
        <v>1440</v>
      </c>
      <c r="E129" s="25" t="s">
        <v>20</v>
      </c>
      <c r="F129" s="91" t="s">
        <v>21</v>
      </c>
      <c r="G129" s="22" t="s">
        <v>22</v>
      </c>
      <c r="H129" s="22">
        <v>12</v>
      </c>
      <c r="I129" s="92">
        <f t="shared" si="1"/>
        <v>45861</v>
      </c>
      <c r="J129" s="16" t="s">
        <v>215</v>
      </c>
      <c r="K129" s="25">
        <v>2015</v>
      </c>
      <c r="L129" s="20" t="s">
        <v>467</v>
      </c>
      <c r="M129" s="32">
        <v>1</v>
      </c>
      <c r="N129" s="16" t="s">
        <v>278</v>
      </c>
      <c r="O129" s="18" t="s">
        <v>90</v>
      </c>
      <c r="P129" s="18" t="s">
        <v>27</v>
      </c>
      <c r="Q129" s="19" t="s">
        <v>28</v>
      </c>
    </row>
    <row r="130" spans="1:17" ht="30" customHeight="1">
      <c r="A130" s="15" t="s">
        <v>468</v>
      </c>
      <c r="B130" s="24" t="s">
        <v>30</v>
      </c>
      <c r="C130" s="18" t="s">
        <v>214</v>
      </c>
      <c r="D130" s="16" t="s">
        <v>1440</v>
      </c>
      <c r="E130" s="25" t="s">
        <v>20</v>
      </c>
      <c r="F130" s="91" t="s">
        <v>21</v>
      </c>
      <c r="G130" s="22" t="s">
        <v>22</v>
      </c>
      <c r="H130" s="22">
        <v>12</v>
      </c>
      <c r="I130" s="92">
        <f t="shared" si="1"/>
        <v>45861</v>
      </c>
      <c r="J130" s="16" t="s">
        <v>215</v>
      </c>
      <c r="K130" s="25">
        <v>2015</v>
      </c>
      <c r="L130" s="20" t="s">
        <v>467</v>
      </c>
      <c r="M130" s="32">
        <v>2</v>
      </c>
      <c r="N130" s="16" t="s">
        <v>278</v>
      </c>
      <c r="O130" s="18" t="s">
        <v>90</v>
      </c>
      <c r="P130" s="18" t="s">
        <v>27</v>
      </c>
      <c r="Q130" s="19" t="s">
        <v>28</v>
      </c>
    </row>
    <row r="131" spans="1:17" ht="30" customHeight="1">
      <c r="A131" s="15" t="s">
        <v>469</v>
      </c>
      <c r="B131" s="24" t="s">
        <v>470</v>
      </c>
      <c r="C131" s="41" t="s">
        <v>471</v>
      </c>
      <c r="D131" s="16" t="s">
        <v>1440</v>
      </c>
      <c r="E131" s="25" t="s">
        <v>20</v>
      </c>
      <c r="F131" s="91" t="s">
        <v>383</v>
      </c>
      <c r="G131" s="22" t="s">
        <v>22</v>
      </c>
      <c r="H131" s="22">
        <v>12</v>
      </c>
      <c r="I131" s="92">
        <f t="shared" ref="I131:I194" si="2">IF(H131=12,DATE(YEAR(F131)+1,MONTH(F131),DAY(F131)),IF(H131=24,DATE(YEAR(F131)+2,MONTH(F131),DAY(F131)),IF(H131="N/A","N/A")))</f>
        <v>46024</v>
      </c>
      <c r="J131" s="16" t="s">
        <v>23</v>
      </c>
      <c r="K131" s="25">
        <v>2015</v>
      </c>
      <c r="L131" s="20" t="s">
        <v>472</v>
      </c>
      <c r="M131" s="32">
        <v>101587</v>
      </c>
      <c r="N131" s="16" t="s">
        <v>473</v>
      </c>
      <c r="O131" s="18" t="s">
        <v>26</v>
      </c>
      <c r="P131" s="18" t="s">
        <v>27</v>
      </c>
      <c r="Q131" s="19" t="s">
        <v>28</v>
      </c>
    </row>
    <row r="132" spans="1:17" ht="30" customHeight="1">
      <c r="A132" s="15" t="s">
        <v>474</v>
      </c>
      <c r="B132" s="24" t="s">
        <v>30</v>
      </c>
      <c r="C132" s="18" t="s">
        <v>475</v>
      </c>
      <c r="D132" s="16" t="s">
        <v>1440</v>
      </c>
      <c r="E132" s="25" t="s">
        <v>20</v>
      </c>
      <c r="F132" s="91" t="s">
        <v>85</v>
      </c>
      <c r="G132" s="22" t="s">
        <v>22</v>
      </c>
      <c r="H132" s="22">
        <v>12</v>
      </c>
      <c r="I132" s="92">
        <f t="shared" si="2"/>
        <v>45860</v>
      </c>
      <c r="J132" s="16" t="s">
        <v>476</v>
      </c>
      <c r="K132" s="25">
        <v>2016</v>
      </c>
      <c r="L132" s="20" t="s">
        <v>477</v>
      </c>
      <c r="M132" s="32" t="s">
        <v>478</v>
      </c>
      <c r="N132" s="16" t="s">
        <v>479</v>
      </c>
      <c r="O132" s="18" t="s">
        <v>110</v>
      </c>
      <c r="P132" s="18" t="s">
        <v>27</v>
      </c>
      <c r="Q132" s="19" t="s">
        <v>28</v>
      </c>
    </row>
    <row r="133" spans="1:17" ht="30" customHeight="1">
      <c r="A133" s="15" t="s">
        <v>480</v>
      </c>
      <c r="B133" s="24" t="s">
        <v>30</v>
      </c>
      <c r="C133" s="18" t="s">
        <v>475</v>
      </c>
      <c r="D133" s="16" t="s">
        <v>1440</v>
      </c>
      <c r="E133" s="25" t="s">
        <v>20</v>
      </c>
      <c r="F133" s="91" t="s">
        <v>21</v>
      </c>
      <c r="G133" s="22" t="s">
        <v>22</v>
      </c>
      <c r="H133" s="22">
        <v>12</v>
      </c>
      <c r="I133" s="92">
        <f t="shared" si="2"/>
        <v>45861</v>
      </c>
      <c r="J133" s="16" t="s">
        <v>476</v>
      </c>
      <c r="K133" s="25">
        <v>2016</v>
      </c>
      <c r="L133" s="20" t="s">
        <v>477</v>
      </c>
      <c r="M133" s="32" t="s">
        <v>481</v>
      </c>
      <c r="N133" s="16" t="s">
        <v>482</v>
      </c>
      <c r="O133" s="18" t="s">
        <v>253</v>
      </c>
      <c r="P133" s="18" t="s">
        <v>27</v>
      </c>
      <c r="Q133" s="19" t="s">
        <v>28</v>
      </c>
    </row>
    <row r="134" spans="1:17" ht="30" customHeight="1">
      <c r="A134" s="15" t="s">
        <v>483</v>
      </c>
      <c r="B134" s="24" t="s">
        <v>30</v>
      </c>
      <c r="C134" s="18" t="s">
        <v>84</v>
      </c>
      <c r="D134" s="16" t="s">
        <v>1440</v>
      </c>
      <c r="E134" s="25" t="s">
        <v>20</v>
      </c>
      <c r="F134" s="91" t="s">
        <v>85</v>
      </c>
      <c r="G134" s="22" t="s">
        <v>22</v>
      </c>
      <c r="H134" s="22">
        <v>12</v>
      </c>
      <c r="I134" s="92">
        <f t="shared" si="2"/>
        <v>45860</v>
      </c>
      <c r="J134" s="16" t="s">
        <v>86</v>
      </c>
      <c r="K134" s="25">
        <v>2015</v>
      </c>
      <c r="L134" s="20" t="s">
        <v>87</v>
      </c>
      <c r="M134" s="32" t="s">
        <v>398</v>
      </c>
      <c r="N134" s="16" t="s">
        <v>89</v>
      </c>
      <c r="O134" s="18" t="s">
        <v>26</v>
      </c>
      <c r="P134" s="18" t="s">
        <v>27</v>
      </c>
      <c r="Q134" s="19" t="s">
        <v>28</v>
      </c>
    </row>
    <row r="135" spans="1:17" ht="30" customHeight="1">
      <c r="A135" s="15" t="s">
        <v>484</v>
      </c>
      <c r="B135" s="24" t="s">
        <v>30</v>
      </c>
      <c r="C135" s="18" t="s">
        <v>84</v>
      </c>
      <c r="D135" s="16" t="s">
        <v>1440</v>
      </c>
      <c r="E135" s="25" t="s">
        <v>20</v>
      </c>
      <c r="F135" s="91" t="s">
        <v>85</v>
      </c>
      <c r="G135" s="22" t="s">
        <v>22</v>
      </c>
      <c r="H135" s="22">
        <v>12</v>
      </c>
      <c r="I135" s="92">
        <f t="shared" si="2"/>
        <v>45860</v>
      </c>
      <c r="J135" s="16" t="s">
        <v>86</v>
      </c>
      <c r="K135" s="25">
        <v>2015</v>
      </c>
      <c r="L135" s="20" t="s">
        <v>92</v>
      </c>
      <c r="M135" s="32" t="s">
        <v>485</v>
      </c>
      <c r="N135" s="16" t="s">
        <v>94</v>
      </c>
      <c r="O135" s="18" t="s">
        <v>26</v>
      </c>
      <c r="P135" s="18" t="s">
        <v>27</v>
      </c>
      <c r="Q135" s="19" t="s">
        <v>28</v>
      </c>
    </row>
    <row r="136" spans="1:17" ht="30" customHeight="1">
      <c r="A136" s="15" t="s">
        <v>486</v>
      </c>
      <c r="B136" s="24" t="s">
        <v>30</v>
      </c>
      <c r="C136" s="18" t="s">
        <v>487</v>
      </c>
      <c r="D136" s="16" t="s">
        <v>1440</v>
      </c>
      <c r="E136" s="25" t="s">
        <v>20</v>
      </c>
      <c r="F136" s="91" t="s">
        <v>85</v>
      </c>
      <c r="G136" s="22" t="s">
        <v>22</v>
      </c>
      <c r="H136" s="22">
        <v>12</v>
      </c>
      <c r="I136" s="92">
        <f t="shared" si="2"/>
        <v>45860</v>
      </c>
      <c r="J136" s="16" t="s">
        <v>86</v>
      </c>
      <c r="K136" s="25">
        <v>2015</v>
      </c>
      <c r="L136" s="20" t="s">
        <v>96</v>
      </c>
      <c r="M136" s="32" t="s">
        <v>485</v>
      </c>
      <c r="N136" s="16" t="s">
        <v>97</v>
      </c>
      <c r="O136" s="18" t="s">
        <v>26</v>
      </c>
      <c r="P136" s="18" t="s">
        <v>27</v>
      </c>
      <c r="Q136" s="19" t="s">
        <v>28</v>
      </c>
    </row>
    <row r="137" spans="1:17" ht="30" customHeight="1">
      <c r="A137" s="15" t="s">
        <v>488</v>
      </c>
      <c r="B137" s="24" t="s">
        <v>121</v>
      </c>
      <c r="C137" s="18" t="s">
        <v>304</v>
      </c>
      <c r="D137" s="16" t="s">
        <v>1440</v>
      </c>
      <c r="E137" s="16" t="s">
        <v>32</v>
      </c>
      <c r="F137" s="23" t="s">
        <v>30</v>
      </c>
      <c r="G137" s="23" t="s">
        <v>30</v>
      </c>
      <c r="H137" s="23" t="s">
        <v>30</v>
      </c>
      <c r="I137" s="92" t="str">
        <f t="shared" si="2"/>
        <v>N/A</v>
      </c>
      <c r="J137" s="16" t="s">
        <v>56</v>
      </c>
      <c r="K137" s="25">
        <v>2015</v>
      </c>
      <c r="L137" s="20">
        <v>3115</v>
      </c>
      <c r="M137" s="32" t="s">
        <v>123</v>
      </c>
      <c r="N137" s="16" t="s">
        <v>58</v>
      </c>
      <c r="O137" s="18" t="s">
        <v>26</v>
      </c>
      <c r="P137" s="18" t="s">
        <v>37</v>
      </c>
      <c r="Q137" s="19" t="s">
        <v>489</v>
      </c>
    </row>
    <row r="138" spans="1:17" ht="30" customHeight="1">
      <c r="A138" s="15" t="s">
        <v>490</v>
      </c>
      <c r="B138" s="24" t="s">
        <v>30</v>
      </c>
      <c r="C138" s="18" t="s">
        <v>304</v>
      </c>
      <c r="D138" s="16" t="s">
        <v>1440</v>
      </c>
      <c r="E138" s="25" t="s">
        <v>20</v>
      </c>
      <c r="F138" s="91">
        <v>45205</v>
      </c>
      <c r="G138" s="22" t="s">
        <v>22</v>
      </c>
      <c r="H138" s="22">
        <v>24</v>
      </c>
      <c r="I138" s="92">
        <f t="shared" si="2"/>
        <v>45936</v>
      </c>
      <c r="J138" s="16" t="s">
        <v>56</v>
      </c>
      <c r="K138" s="25">
        <v>2015</v>
      </c>
      <c r="L138" s="20" t="s">
        <v>61</v>
      </c>
      <c r="M138" s="32" t="s">
        <v>491</v>
      </c>
      <c r="N138" s="16" t="s">
        <v>492</v>
      </c>
      <c r="O138" s="18" t="s">
        <v>26</v>
      </c>
      <c r="P138" s="18" t="s">
        <v>27</v>
      </c>
      <c r="Q138" s="19" t="s">
        <v>28</v>
      </c>
    </row>
    <row r="139" spans="1:17" ht="30" customHeight="1">
      <c r="A139" s="15" t="s">
        <v>493</v>
      </c>
      <c r="B139" s="24" t="s">
        <v>30</v>
      </c>
      <c r="C139" s="18" t="s">
        <v>214</v>
      </c>
      <c r="D139" s="16" t="s">
        <v>1440</v>
      </c>
      <c r="E139" s="25" t="s">
        <v>20</v>
      </c>
      <c r="F139" s="91" t="s">
        <v>126</v>
      </c>
      <c r="G139" s="22" t="s">
        <v>22</v>
      </c>
      <c r="H139" s="22">
        <v>12</v>
      </c>
      <c r="I139" s="92">
        <f t="shared" si="2"/>
        <v>45863</v>
      </c>
      <c r="J139" s="16" t="s">
        <v>215</v>
      </c>
      <c r="K139" s="25">
        <v>2018</v>
      </c>
      <c r="L139" s="20" t="s">
        <v>494</v>
      </c>
      <c r="M139" s="32" t="s">
        <v>495</v>
      </c>
      <c r="N139" s="16" t="s">
        <v>496</v>
      </c>
      <c r="O139" s="18" t="s">
        <v>110</v>
      </c>
      <c r="P139" s="18" t="s">
        <v>27</v>
      </c>
      <c r="Q139" s="19" t="s">
        <v>28</v>
      </c>
    </row>
    <row r="140" spans="1:17" ht="30" customHeight="1">
      <c r="A140" s="15" t="s">
        <v>497</v>
      </c>
      <c r="B140" s="24" t="s">
        <v>30</v>
      </c>
      <c r="C140" s="18" t="s">
        <v>214</v>
      </c>
      <c r="D140" s="16" t="s">
        <v>1440</v>
      </c>
      <c r="E140" s="25" t="s">
        <v>20</v>
      </c>
      <c r="F140" s="91" t="s">
        <v>126</v>
      </c>
      <c r="G140" s="22" t="s">
        <v>22</v>
      </c>
      <c r="H140" s="22">
        <v>12</v>
      </c>
      <c r="I140" s="92">
        <f t="shared" si="2"/>
        <v>45863</v>
      </c>
      <c r="J140" s="16" t="s">
        <v>215</v>
      </c>
      <c r="K140" s="25">
        <v>2018</v>
      </c>
      <c r="L140" s="20" t="s">
        <v>494</v>
      </c>
      <c r="M140" s="32" t="s">
        <v>498</v>
      </c>
      <c r="N140" s="16" t="s">
        <v>496</v>
      </c>
      <c r="O140" s="18" t="s">
        <v>110</v>
      </c>
      <c r="P140" s="18" t="s">
        <v>27</v>
      </c>
      <c r="Q140" s="19" t="s">
        <v>28</v>
      </c>
    </row>
    <row r="141" spans="1:17" ht="30" customHeight="1">
      <c r="A141" s="15" t="s">
        <v>499</v>
      </c>
      <c r="B141" s="24" t="s">
        <v>30</v>
      </c>
      <c r="C141" s="18" t="s">
        <v>214</v>
      </c>
      <c r="D141" s="16" t="s">
        <v>1440</v>
      </c>
      <c r="E141" s="25" t="s">
        <v>20</v>
      </c>
      <c r="F141" s="91" t="s">
        <v>126</v>
      </c>
      <c r="G141" s="22" t="s">
        <v>22</v>
      </c>
      <c r="H141" s="22">
        <v>12</v>
      </c>
      <c r="I141" s="92">
        <f t="shared" si="2"/>
        <v>45863</v>
      </c>
      <c r="J141" s="16" t="s">
        <v>215</v>
      </c>
      <c r="K141" s="25">
        <v>2018</v>
      </c>
      <c r="L141" s="20" t="s">
        <v>494</v>
      </c>
      <c r="M141" s="32" t="s">
        <v>500</v>
      </c>
      <c r="N141" s="16" t="s">
        <v>496</v>
      </c>
      <c r="O141" s="18" t="s">
        <v>110</v>
      </c>
      <c r="P141" s="18" t="s">
        <v>27</v>
      </c>
      <c r="Q141" s="19" t="s">
        <v>28</v>
      </c>
    </row>
    <row r="142" spans="1:17" ht="30" customHeight="1">
      <c r="A142" s="15" t="s">
        <v>501</v>
      </c>
      <c r="B142" s="24" t="s">
        <v>30</v>
      </c>
      <c r="C142" s="18" t="s">
        <v>214</v>
      </c>
      <c r="D142" s="16" t="s">
        <v>1440</v>
      </c>
      <c r="E142" s="25" t="s">
        <v>20</v>
      </c>
      <c r="F142" s="91" t="s">
        <v>126</v>
      </c>
      <c r="G142" s="22" t="s">
        <v>22</v>
      </c>
      <c r="H142" s="22">
        <v>12</v>
      </c>
      <c r="I142" s="92">
        <f t="shared" si="2"/>
        <v>45863</v>
      </c>
      <c r="J142" s="16" t="s">
        <v>215</v>
      </c>
      <c r="K142" s="25">
        <v>2018</v>
      </c>
      <c r="L142" s="20" t="s">
        <v>494</v>
      </c>
      <c r="M142" s="32" t="s">
        <v>502</v>
      </c>
      <c r="N142" s="16" t="s">
        <v>496</v>
      </c>
      <c r="O142" s="18" t="s">
        <v>110</v>
      </c>
      <c r="P142" s="18" t="s">
        <v>27</v>
      </c>
      <c r="Q142" s="19" t="s">
        <v>28</v>
      </c>
    </row>
    <row r="143" spans="1:17" ht="30" customHeight="1">
      <c r="A143" s="15" t="s">
        <v>503</v>
      </c>
      <c r="B143" s="24" t="s">
        <v>30</v>
      </c>
      <c r="C143" s="18" t="s">
        <v>214</v>
      </c>
      <c r="D143" s="16" t="s">
        <v>1440</v>
      </c>
      <c r="E143" s="25" t="s">
        <v>20</v>
      </c>
      <c r="F143" s="91" t="s">
        <v>21</v>
      </c>
      <c r="G143" s="22" t="s">
        <v>22</v>
      </c>
      <c r="H143" s="22">
        <v>12</v>
      </c>
      <c r="I143" s="92">
        <f t="shared" si="2"/>
        <v>45861</v>
      </c>
      <c r="J143" s="16" t="s">
        <v>234</v>
      </c>
      <c r="K143" s="25">
        <v>2018</v>
      </c>
      <c r="L143" s="20" t="s">
        <v>504</v>
      </c>
      <c r="M143" s="32" t="s">
        <v>505</v>
      </c>
      <c r="N143" s="16" t="s">
        <v>506</v>
      </c>
      <c r="O143" s="18" t="s">
        <v>110</v>
      </c>
      <c r="P143" s="18" t="s">
        <v>27</v>
      </c>
      <c r="Q143" s="19" t="s">
        <v>28</v>
      </c>
    </row>
    <row r="144" spans="1:17" ht="30" customHeight="1">
      <c r="A144" s="15" t="s">
        <v>507</v>
      </c>
      <c r="B144" s="24" t="s">
        <v>30</v>
      </c>
      <c r="C144" s="18" t="s">
        <v>214</v>
      </c>
      <c r="D144" s="16" t="s">
        <v>1440</v>
      </c>
      <c r="E144" s="25" t="s">
        <v>20</v>
      </c>
      <c r="F144" s="91" t="s">
        <v>21</v>
      </c>
      <c r="G144" s="22" t="s">
        <v>22</v>
      </c>
      <c r="H144" s="22">
        <v>12</v>
      </c>
      <c r="I144" s="92">
        <f t="shared" si="2"/>
        <v>45861</v>
      </c>
      <c r="J144" s="16" t="s">
        <v>234</v>
      </c>
      <c r="K144" s="25">
        <v>2018</v>
      </c>
      <c r="L144" s="20" t="s">
        <v>504</v>
      </c>
      <c r="M144" s="32" t="s">
        <v>508</v>
      </c>
      <c r="N144" s="16" t="s">
        <v>506</v>
      </c>
      <c r="O144" s="18" t="s">
        <v>110</v>
      </c>
      <c r="P144" s="18" t="s">
        <v>27</v>
      </c>
      <c r="Q144" s="19" t="s">
        <v>28</v>
      </c>
    </row>
    <row r="145" spans="1:17" ht="30" customHeight="1">
      <c r="A145" s="15" t="s">
        <v>509</v>
      </c>
      <c r="B145" s="24" t="s">
        <v>30</v>
      </c>
      <c r="C145" s="18" t="s">
        <v>214</v>
      </c>
      <c r="D145" s="16" t="s">
        <v>1440</v>
      </c>
      <c r="E145" s="25" t="s">
        <v>20</v>
      </c>
      <c r="F145" s="91" t="s">
        <v>21</v>
      </c>
      <c r="G145" s="22" t="s">
        <v>22</v>
      </c>
      <c r="H145" s="22">
        <v>12</v>
      </c>
      <c r="I145" s="92">
        <f t="shared" si="2"/>
        <v>45861</v>
      </c>
      <c r="J145" s="16" t="s">
        <v>234</v>
      </c>
      <c r="K145" s="25">
        <v>2018</v>
      </c>
      <c r="L145" s="20" t="s">
        <v>510</v>
      </c>
      <c r="M145" s="32" t="s">
        <v>511</v>
      </c>
      <c r="N145" s="16" t="s">
        <v>512</v>
      </c>
      <c r="O145" s="18" t="s">
        <v>110</v>
      </c>
      <c r="P145" s="18" t="s">
        <v>27</v>
      </c>
      <c r="Q145" s="19" t="s">
        <v>28</v>
      </c>
    </row>
    <row r="146" spans="1:17" ht="30" customHeight="1">
      <c r="A146" s="15" t="s">
        <v>513</v>
      </c>
      <c r="B146" s="24" t="s">
        <v>30</v>
      </c>
      <c r="C146" s="18" t="s">
        <v>214</v>
      </c>
      <c r="D146" s="16" t="s">
        <v>1440</v>
      </c>
      <c r="E146" s="25" t="s">
        <v>20</v>
      </c>
      <c r="F146" s="91" t="s">
        <v>21</v>
      </c>
      <c r="G146" s="22" t="s">
        <v>22</v>
      </c>
      <c r="H146" s="22">
        <v>12</v>
      </c>
      <c r="I146" s="92">
        <f t="shared" si="2"/>
        <v>45861</v>
      </c>
      <c r="J146" s="16" t="s">
        <v>234</v>
      </c>
      <c r="K146" s="25">
        <v>2018</v>
      </c>
      <c r="L146" s="20" t="s">
        <v>510</v>
      </c>
      <c r="M146" s="32" t="s">
        <v>514</v>
      </c>
      <c r="N146" s="16" t="s">
        <v>512</v>
      </c>
      <c r="O146" s="18" t="s">
        <v>110</v>
      </c>
      <c r="P146" s="18" t="s">
        <v>27</v>
      </c>
      <c r="Q146" s="19" t="s">
        <v>28</v>
      </c>
    </row>
    <row r="147" spans="1:17" ht="30" customHeight="1">
      <c r="A147" s="15" t="s">
        <v>515</v>
      </c>
      <c r="B147" s="24" t="s">
        <v>30</v>
      </c>
      <c r="C147" s="18" t="s">
        <v>516</v>
      </c>
      <c r="D147" s="16" t="s">
        <v>1440</v>
      </c>
      <c r="E147" s="16" t="s">
        <v>146</v>
      </c>
      <c r="F147" s="23" t="s">
        <v>30</v>
      </c>
      <c r="G147" s="23" t="s">
        <v>30</v>
      </c>
      <c r="H147" s="23" t="s">
        <v>30</v>
      </c>
      <c r="I147" s="92" t="str">
        <f t="shared" si="2"/>
        <v>N/A</v>
      </c>
      <c r="J147" s="16" t="s">
        <v>517</v>
      </c>
      <c r="K147" s="25">
        <v>2019</v>
      </c>
      <c r="L147" s="20" t="s">
        <v>518</v>
      </c>
      <c r="M147" s="32" t="s">
        <v>519</v>
      </c>
      <c r="N147" s="16" t="s">
        <v>520</v>
      </c>
      <c r="O147" s="18" t="s">
        <v>26</v>
      </c>
      <c r="P147" s="18" t="s">
        <v>37</v>
      </c>
      <c r="Q147" s="19" t="s">
        <v>28</v>
      </c>
    </row>
    <row r="148" spans="1:17" ht="30" customHeight="1">
      <c r="A148" s="15" t="s">
        <v>521</v>
      </c>
      <c r="B148" s="24" t="s">
        <v>30</v>
      </c>
      <c r="C148" s="18" t="s">
        <v>516</v>
      </c>
      <c r="D148" s="16" t="s">
        <v>1440</v>
      </c>
      <c r="E148" s="16" t="s">
        <v>146</v>
      </c>
      <c r="F148" s="23" t="s">
        <v>30</v>
      </c>
      <c r="G148" s="23" t="s">
        <v>30</v>
      </c>
      <c r="H148" s="23" t="s">
        <v>30</v>
      </c>
      <c r="I148" s="92" t="str">
        <f t="shared" si="2"/>
        <v>N/A</v>
      </c>
      <c r="J148" s="16" t="s">
        <v>517</v>
      </c>
      <c r="K148" s="25">
        <v>2019</v>
      </c>
      <c r="L148" s="20" t="s">
        <v>518</v>
      </c>
      <c r="M148" s="32" t="s">
        <v>522</v>
      </c>
      <c r="N148" s="16" t="s">
        <v>520</v>
      </c>
      <c r="O148" s="18" t="s">
        <v>90</v>
      </c>
      <c r="P148" s="18" t="s">
        <v>37</v>
      </c>
      <c r="Q148" s="19" t="s">
        <v>28</v>
      </c>
    </row>
    <row r="149" spans="1:17" ht="30" customHeight="1">
      <c r="A149" s="15" t="s">
        <v>523</v>
      </c>
      <c r="B149" s="24" t="s">
        <v>524</v>
      </c>
      <c r="C149" s="18" t="s">
        <v>221</v>
      </c>
      <c r="D149" s="16" t="s">
        <v>1440</v>
      </c>
      <c r="E149" s="25" t="s">
        <v>20</v>
      </c>
      <c r="F149" s="91">
        <v>45516</v>
      </c>
      <c r="G149" s="17" t="s">
        <v>22</v>
      </c>
      <c r="H149" s="17">
        <v>12</v>
      </c>
      <c r="I149" s="92">
        <f t="shared" si="2"/>
        <v>45881</v>
      </c>
      <c r="J149" s="16" t="s">
        <v>525</v>
      </c>
      <c r="K149" s="25">
        <v>2020</v>
      </c>
      <c r="L149" s="20" t="s">
        <v>526</v>
      </c>
      <c r="M149" s="32" t="s">
        <v>527</v>
      </c>
      <c r="N149" s="16" t="s">
        <v>528</v>
      </c>
      <c r="O149" s="18" t="s">
        <v>529</v>
      </c>
      <c r="P149" s="18" t="s">
        <v>27</v>
      </c>
      <c r="Q149" s="19" t="s">
        <v>28</v>
      </c>
    </row>
    <row r="150" spans="1:17" ht="30" customHeight="1">
      <c r="A150" s="15" t="s">
        <v>530</v>
      </c>
      <c r="B150" s="24" t="s">
        <v>531</v>
      </c>
      <c r="C150" s="18" t="s">
        <v>532</v>
      </c>
      <c r="D150" s="16" t="s">
        <v>1440</v>
      </c>
      <c r="E150" s="25" t="s">
        <v>20</v>
      </c>
      <c r="F150" s="91">
        <v>45674</v>
      </c>
      <c r="G150" s="22" t="s">
        <v>22</v>
      </c>
      <c r="H150" s="22">
        <v>12</v>
      </c>
      <c r="I150" s="92">
        <f t="shared" si="2"/>
        <v>46039</v>
      </c>
      <c r="J150" s="16" t="s">
        <v>533</v>
      </c>
      <c r="K150" s="25">
        <v>2020</v>
      </c>
      <c r="L150" s="20" t="s">
        <v>534</v>
      </c>
      <c r="M150" s="32" t="s">
        <v>535</v>
      </c>
      <c r="N150" s="16" t="s">
        <v>536</v>
      </c>
      <c r="O150" s="18" t="s">
        <v>529</v>
      </c>
      <c r="P150" s="18" t="s">
        <v>27</v>
      </c>
      <c r="Q150" s="19" t="s">
        <v>28</v>
      </c>
    </row>
    <row r="151" spans="1:17" ht="30" customHeight="1">
      <c r="A151" s="15" t="s">
        <v>537</v>
      </c>
      <c r="B151" s="24" t="s">
        <v>538</v>
      </c>
      <c r="C151" s="18" t="s">
        <v>532</v>
      </c>
      <c r="D151" s="16" t="s">
        <v>1440</v>
      </c>
      <c r="E151" s="25" t="s">
        <v>20</v>
      </c>
      <c r="F151" s="91">
        <v>45674</v>
      </c>
      <c r="G151" s="22" t="s">
        <v>22</v>
      </c>
      <c r="H151" s="22">
        <v>12</v>
      </c>
      <c r="I151" s="92">
        <f t="shared" si="2"/>
        <v>46039</v>
      </c>
      <c r="J151" s="16" t="s">
        <v>533</v>
      </c>
      <c r="K151" s="25">
        <v>2020</v>
      </c>
      <c r="L151" s="20" t="s">
        <v>539</v>
      </c>
      <c r="M151" s="32" t="s">
        <v>540</v>
      </c>
      <c r="N151" s="16" t="s">
        <v>541</v>
      </c>
      <c r="O151" s="18" t="s">
        <v>529</v>
      </c>
      <c r="P151" s="18" t="s">
        <v>27</v>
      </c>
      <c r="Q151" s="19" t="s">
        <v>28</v>
      </c>
    </row>
    <row r="152" spans="1:17" ht="30" customHeight="1">
      <c r="A152" s="15" t="s">
        <v>542</v>
      </c>
      <c r="B152" s="24" t="s">
        <v>543</v>
      </c>
      <c r="C152" s="18" t="s">
        <v>532</v>
      </c>
      <c r="D152" s="16" t="s">
        <v>1440</v>
      </c>
      <c r="E152" s="25" t="s">
        <v>20</v>
      </c>
      <c r="F152" s="91">
        <v>45674</v>
      </c>
      <c r="G152" s="22" t="s">
        <v>22</v>
      </c>
      <c r="H152" s="22">
        <v>12</v>
      </c>
      <c r="I152" s="92">
        <f t="shared" si="2"/>
        <v>46039</v>
      </c>
      <c r="J152" s="16" t="s">
        <v>533</v>
      </c>
      <c r="K152" s="25">
        <v>2020</v>
      </c>
      <c r="L152" s="20" t="s">
        <v>544</v>
      </c>
      <c r="M152" s="32" t="s">
        <v>545</v>
      </c>
      <c r="N152" s="16" t="s">
        <v>546</v>
      </c>
      <c r="O152" s="18" t="s">
        <v>529</v>
      </c>
      <c r="P152" s="18" t="s">
        <v>27</v>
      </c>
      <c r="Q152" s="19" t="s">
        <v>28</v>
      </c>
    </row>
    <row r="153" spans="1:17" ht="30" customHeight="1">
      <c r="A153" s="15" t="s">
        <v>547</v>
      </c>
      <c r="B153" s="24" t="s">
        <v>548</v>
      </c>
      <c r="C153" s="18" t="s">
        <v>532</v>
      </c>
      <c r="D153" s="16" t="s">
        <v>1440</v>
      </c>
      <c r="E153" s="25" t="s">
        <v>20</v>
      </c>
      <c r="F153" s="91">
        <v>45674</v>
      </c>
      <c r="G153" s="22" t="s">
        <v>22</v>
      </c>
      <c r="H153" s="22">
        <v>12</v>
      </c>
      <c r="I153" s="92">
        <f t="shared" si="2"/>
        <v>46039</v>
      </c>
      <c r="J153" s="16" t="s">
        <v>533</v>
      </c>
      <c r="K153" s="25">
        <v>2020</v>
      </c>
      <c r="L153" s="20" t="s">
        <v>549</v>
      </c>
      <c r="M153" s="32" t="s">
        <v>550</v>
      </c>
      <c r="N153" s="16" t="s">
        <v>551</v>
      </c>
      <c r="O153" s="18" t="s">
        <v>529</v>
      </c>
      <c r="P153" s="18" t="s">
        <v>27</v>
      </c>
      <c r="Q153" s="19" t="s">
        <v>28</v>
      </c>
    </row>
    <row r="154" spans="1:17" ht="30" customHeight="1">
      <c r="A154" s="15" t="s">
        <v>552</v>
      </c>
      <c r="B154" s="24" t="s">
        <v>553</v>
      </c>
      <c r="C154" s="18" t="s">
        <v>532</v>
      </c>
      <c r="D154" s="16" t="s">
        <v>1440</v>
      </c>
      <c r="E154" s="25" t="s">
        <v>20</v>
      </c>
      <c r="F154" s="91">
        <v>45674</v>
      </c>
      <c r="G154" s="22" t="s">
        <v>22</v>
      </c>
      <c r="H154" s="22">
        <v>12</v>
      </c>
      <c r="I154" s="92">
        <f t="shared" si="2"/>
        <v>46039</v>
      </c>
      <c r="J154" s="16" t="s">
        <v>533</v>
      </c>
      <c r="K154" s="25">
        <v>2020</v>
      </c>
      <c r="L154" s="20" t="s">
        <v>554</v>
      </c>
      <c r="M154" s="32" t="s">
        <v>555</v>
      </c>
      <c r="N154" s="16" t="s">
        <v>556</v>
      </c>
      <c r="O154" s="18" t="s">
        <v>529</v>
      </c>
      <c r="P154" s="18" t="s">
        <v>27</v>
      </c>
      <c r="Q154" s="19" t="s">
        <v>28</v>
      </c>
    </row>
    <row r="155" spans="1:17" ht="30" customHeight="1">
      <c r="A155" s="15" t="s">
        <v>557</v>
      </c>
      <c r="B155" s="24" t="s">
        <v>558</v>
      </c>
      <c r="C155" s="18" t="s">
        <v>256</v>
      </c>
      <c r="D155" s="16" t="s">
        <v>1440</v>
      </c>
      <c r="E155" s="25" t="s">
        <v>20</v>
      </c>
      <c r="F155" s="91" t="s">
        <v>383</v>
      </c>
      <c r="G155" s="22" t="s">
        <v>22</v>
      </c>
      <c r="H155" s="22">
        <v>12</v>
      </c>
      <c r="I155" s="92">
        <f t="shared" si="2"/>
        <v>46024</v>
      </c>
      <c r="J155" s="16" t="s">
        <v>525</v>
      </c>
      <c r="K155" s="25">
        <v>2020</v>
      </c>
      <c r="L155" s="20" t="s">
        <v>559</v>
      </c>
      <c r="M155" s="32" t="s">
        <v>560</v>
      </c>
      <c r="N155" s="16" t="s">
        <v>561</v>
      </c>
      <c r="O155" s="18" t="s">
        <v>529</v>
      </c>
      <c r="P155" s="18" t="s">
        <v>27</v>
      </c>
      <c r="Q155" s="19" t="s">
        <v>28</v>
      </c>
    </row>
    <row r="156" spans="1:17" ht="30" customHeight="1">
      <c r="A156" s="15" t="s">
        <v>562</v>
      </c>
      <c r="B156" s="24" t="s">
        <v>563</v>
      </c>
      <c r="C156" s="18" t="s">
        <v>564</v>
      </c>
      <c r="D156" s="16" t="s">
        <v>1440</v>
      </c>
      <c r="E156" s="25" t="s">
        <v>20</v>
      </c>
      <c r="F156" s="91">
        <v>45671</v>
      </c>
      <c r="G156" s="22" t="s">
        <v>22</v>
      </c>
      <c r="H156" s="22">
        <v>12</v>
      </c>
      <c r="I156" s="92">
        <f t="shared" si="2"/>
        <v>46036</v>
      </c>
      <c r="J156" s="16" t="s">
        <v>533</v>
      </c>
      <c r="K156" s="25">
        <v>2020</v>
      </c>
      <c r="L156" s="20" t="s">
        <v>565</v>
      </c>
      <c r="M156" s="32" t="s">
        <v>566</v>
      </c>
      <c r="N156" s="16" t="s">
        <v>536</v>
      </c>
      <c r="O156" s="18" t="s">
        <v>529</v>
      </c>
      <c r="P156" s="18" t="s">
        <v>27</v>
      </c>
      <c r="Q156" s="19" t="s">
        <v>28</v>
      </c>
    </row>
    <row r="157" spans="1:17" ht="30" customHeight="1">
      <c r="A157" s="15" t="s">
        <v>567</v>
      </c>
      <c r="B157" s="24" t="s">
        <v>568</v>
      </c>
      <c r="C157" s="18" t="s">
        <v>564</v>
      </c>
      <c r="D157" s="16" t="s">
        <v>1440</v>
      </c>
      <c r="E157" s="25" t="s">
        <v>20</v>
      </c>
      <c r="F157" s="91">
        <v>45671</v>
      </c>
      <c r="G157" s="22" t="s">
        <v>22</v>
      </c>
      <c r="H157" s="22">
        <v>12</v>
      </c>
      <c r="I157" s="92">
        <f t="shared" si="2"/>
        <v>46036</v>
      </c>
      <c r="J157" s="16" t="s">
        <v>533</v>
      </c>
      <c r="K157" s="25">
        <v>2020</v>
      </c>
      <c r="L157" s="20" t="s">
        <v>569</v>
      </c>
      <c r="M157" s="32" t="s">
        <v>570</v>
      </c>
      <c r="N157" s="16" t="s">
        <v>541</v>
      </c>
      <c r="O157" s="18" t="s">
        <v>529</v>
      </c>
      <c r="P157" s="18" t="s">
        <v>27</v>
      </c>
      <c r="Q157" s="19" t="s">
        <v>28</v>
      </c>
    </row>
    <row r="158" spans="1:17" ht="30" customHeight="1">
      <c r="A158" s="15" t="s">
        <v>571</v>
      </c>
      <c r="B158" s="24" t="s">
        <v>572</v>
      </c>
      <c r="C158" s="18" t="s">
        <v>564</v>
      </c>
      <c r="D158" s="16" t="s">
        <v>1440</v>
      </c>
      <c r="E158" s="25" t="s">
        <v>20</v>
      </c>
      <c r="F158" s="91">
        <v>45671</v>
      </c>
      <c r="G158" s="22" t="s">
        <v>22</v>
      </c>
      <c r="H158" s="22">
        <v>12</v>
      </c>
      <c r="I158" s="92">
        <f t="shared" si="2"/>
        <v>46036</v>
      </c>
      <c r="J158" s="16" t="s">
        <v>533</v>
      </c>
      <c r="K158" s="25">
        <v>2020</v>
      </c>
      <c r="L158" s="20" t="s">
        <v>573</v>
      </c>
      <c r="M158" s="32" t="s">
        <v>574</v>
      </c>
      <c r="N158" s="16" t="s">
        <v>546</v>
      </c>
      <c r="O158" s="18" t="s">
        <v>529</v>
      </c>
      <c r="P158" s="18" t="s">
        <v>27</v>
      </c>
      <c r="Q158" s="19" t="s">
        <v>28</v>
      </c>
    </row>
    <row r="159" spans="1:17" ht="30" customHeight="1">
      <c r="A159" s="15" t="s">
        <v>575</v>
      </c>
      <c r="B159" s="24" t="s">
        <v>576</v>
      </c>
      <c r="C159" s="18" t="s">
        <v>564</v>
      </c>
      <c r="D159" s="16" t="s">
        <v>1440</v>
      </c>
      <c r="E159" s="25" t="s">
        <v>20</v>
      </c>
      <c r="F159" s="91">
        <v>45672</v>
      </c>
      <c r="G159" s="22" t="s">
        <v>22</v>
      </c>
      <c r="H159" s="22">
        <v>12</v>
      </c>
      <c r="I159" s="92">
        <f t="shared" si="2"/>
        <v>46037</v>
      </c>
      <c r="J159" s="16" t="s">
        <v>533</v>
      </c>
      <c r="K159" s="25">
        <v>2020</v>
      </c>
      <c r="L159" s="20" t="s">
        <v>577</v>
      </c>
      <c r="M159" s="32" t="s">
        <v>578</v>
      </c>
      <c r="N159" s="16" t="s">
        <v>551</v>
      </c>
      <c r="O159" s="18" t="s">
        <v>529</v>
      </c>
      <c r="P159" s="18" t="s">
        <v>27</v>
      </c>
      <c r="Q159" s="19" t="s">
        <v>28</v>
      </c>
    </row>
    <row r="160" spans="1:17" ht="30" customHeight="1">
      <c r="A160" s="15" t="s">
        <v>579</v>
      </c>
      <c r="B160" s="24" t="s">
        <v>580</v>
      </c>
      <c r="C160" s="18" t="s">
        <v>564</v>
      </c>
      <c r="D160" s="16" t="s">
        <v>1440</v>
      </c>
      <c r="E160" s="25" t="s">
        <v>20</v>
      </c>
      <c r="F160" s="91">
        <v>45673</v>
      </c>
      <c r="G160" s="22" t="s">
        <v>22</v>
      </c>
      <c r="H160" s="22">
        <v>12</v>
      </c>
      <c r="I160" s="92">
        <f t="shared" si="2"/>
        <v>46038</v>
      </c>
      <c r="J160" s="16" t="s">
        <v>533</v>
      </c>
      <c r="K160" s="25">
        <v>2020</v>
      </c>
      <c r="L160" s="20" t="s">
        <v>581</v>
      </c>
      <c r="M160" s="32" t="s">
        <v>582</v>
      </c>
      <c r="N160" s="16" t="s">
        <v>556</v>
      </c>
      <c r="O160" s="18" t="s">
        <v>529</v>
      </c>
      <c r="P160" s="18" t="s">
        <v>27</v>
      </c>
      <c r="Q160" s="19" t="s">
        <v>28</v>
      </c>
    </row>
    <row r="161" spans="1:17" ht="30" customHeight="1">
      <c r="A161" s="15" t="s">
        <v>583</v>
      </c>
      <c r="B161" s="24" t="s">
        <v>30</v>
      </c>
      <c r="C161" s="18" t="s">
        <v>584</v>
      </c>
      <c r="D161" s="16" t="s">
        <v>1440</v>
      </c>
      <c r="E161" s="25" t="s">
        <v>20</v>
      </c>
      <c r="F161" s="91" t="s">
        <v>383</v>
      </c>
      <c r="G161" s="22" t="s">
        <v>22</v>
      </c>
      <c r="H161" s="22">
        <v>12</v>
      </c>
      <c r="I161" s="92">
        <f t="shared" si="2"/>
        <v>46024</v>
      </c>
      <c r="J161" s="16" t="s">
        <v>525</v>
      </c>
      <c r="K161" s="25">
        <v>2020</v>
      </c>
      <c r="L161" s="20" t="s">
        <v>585</v>
      </c>
      <c r="M161" s="32" t="s">
        <v>586</v>
      </c>
      <c r="N161" s="16" t="s">
        <v>561</v>
      </c>
      <c r="O161" s="18" t="s">
        <v>529</v>
      </c>
      <c r="P161" s="18" t="s">
        <v>27</v>
      </c>
      <c r="Q161" s="19" t="s">
        <v>28</v>
      </c>
    </row>
    <row r="162" spans="1:17" ht="30" customHeight="1">
      <c r="A162" s="15" t="s">
        <v>587</v>
      </c>
      <c r="B162" s="24" t="s">
        <v>588</v>
      </c>
      <c r="C162" s="18" t="s">
        <v>208</v>
      </c>
      <c r="D162" s="16" t="s">
        <v>1440</v>
      </c>
      <c r="E162" s="25" t="s">
        <v>20</v>
      </c>
      <c r="F162" s="91" t="s">
        <v>589</v>
      </c>
      <c r="G162" s="22" t="s">
        <v>22</v>
      </c>
      <c r="H162" s="22">
        <v>12</v>
      </c>
      <c r="I162" s="92">
        <f t="shared" si="2"/>
        <v>46025</v>
      </c>
      <c r="J162" s="16" t="s">
        <v>525</v>
      </c>
      <c r="K162" s="25">
        <v>2020</v>
      </c>
      <c r="L162" s="20" t="s">
        <v>590</v>
      </c>
      <c r="M162" s="32" t="s">
        <v>591</v>
      </c>
      <c r="N162" s="16" t="s">
        <v>592</v>
      </c>
      <c r="O162" s="18" t="s">
        <v>529</v>
      </c>
      <c r="P162" s="18" t="s">
        <v>27</v>
      </c>
      <c r="Q162" s="19" t="s">
        <v>28</v>
      </c>
    </row>
    <row r="163" spans="1:17" ht="30" customHeight="1">
      <c r="A163" s="15" t="s">
        <v>593</v>
      </c>
      <c r="B163" s="24" t="s">
        <v>594</v>
      </c>
      <c r="C163" s="18" t="s">
        <v>208</v>
      </c>
      <c r="D163" s="16" t="s">
        <v>1440</v>
      </c>
      <c r="E163" s="16" t="s">
        <v>32</v>
      </c>
      <c r="F163" s="91" t="s">
        <v>30</v>
      </c>
      <c r="G163" s="23" t="s">
        <v>30</v>
      </c>
      <c r="H163" s="23" t="s">
        <v>30</v>
      </c>
      <c r="I163" s="92" t="str">
        <f t="shared" si="2"/>
        <v>N/A</v>
      </c>
      <c r="J163" s="16" t="s">
        <v>525</v>
      </c>
      <c r="K163" s="25">
        <v>2020</v>
      </c>
      <c r="L163" s="20" t="s">
        <v>595</v>
      </c>
      <c r="M163" s="32" t="s">
        <v>596</v>
      </c>
      <c r="N163" s="16" t="s">
        <v>536</v>
      </c>
      <c r="O163" s="18" t="s">
        <v>529</v>
      </c>
      <c r="P163" s="18" t="s">
        <v>37</v>
      </c>
      <c r="Q163" s="19" t="s">
        <v>489</v>
      </c>
    </row>
    <row r="164" spans="1:17" ht="30" customHeight="1">
      <c r="A164" s="15" t="s">
        <v>597</v>
      </c>
      <c r="B164" s="24" t="s">
        <v>598</v>
      </c>
      <c r="C164" s="18" t="s">
        <v>599</v>
      </c>
      <c r="D164" s="16" t="s">
        <v>1440</v>
      </c>
      <c r="E164" s="16" t="s">
        <v>32</v>
      </c>
      <c r="F164" s="91" t="s">
        <v>30</v>
      </c>
      <c r="G164" s="23" t="s">
        <v>30</v>
      </c>
      <c r="H164" s="23" t="s">
        <v>30</v>
      </c>
      <c r="I164" s="92" t="str">
        <f t="shared" si="2"/>
        <v>N/A</v>
      </c>
      <c r="J164" s="16" t="s">
        <v>525</v>
      </c>
      <c r="K164" s="25">
        <v>2020</v>
      </c>
      <c r="L164" s="20" t="s">
        <v>600</v>
      </c>
      <c r="M164" s="32" t="s">
        <v>601</v>
      </c>
      <c r="N164" s="16" t="s">
        <v>602</v>
      </c>
      <c r="O164" s="18" t="s">
        <v>529</v>
      </c>
      <c r="P164" s="18" t="s">
        <v>37</v>
      </c>
      <c r="Q164" s="19" t="s">
        <v>489</v>
      </c>
    </row>
    <row r="165" spans="1:17" ht="30" customHeight="1">
      <c r="A165" s="15" t="s">
        <v>603</v>
      </c>
      <c r="B165" s="24" t="s">
        <v>604</v>
      </c>
      <c r="C165" s="18" t="s">
        <v>605</v>
      </c>
      <c r="D165" s="16" t="s">
        <v>1440</v>
      </c>
      <c r="E165" s="16" t="s">
        <v>20</v>
      </c>
      <c r="F165" s="91" t="s">
        <v>606</v>
      </c>
      <c r="G165" s="22" t="s">
        <v>22</v>
      </c>
      <c r="H165" s="22">
        <v>12</v>
      </c>
      <c r="I165" s="92">
        <f t="shared" si="2"/>
        <v>46028</v>
      </c>
      <c r="J165" s="16" t="s">
        <v>525</v>
      </c>
      <c r="K165" s="25">
        <v>2020</v>
      </c>
      <c r="L165" s="20" t="s">
        <v>607</v>
      </c>
      <c r="M165" s="32" t="s">
        <v>608</v>
      </c>
      <c r="N165" s="16" t="s">
        <v>609</v>
      </c>
      <c r="O165" s="18" t="s">
        <v>529</v>
      </c>
      <c r="P165" s="18" t="s">
        <v>27</v>
      </c>
      <c r="Q165" s="19" t="s">
        <v>28</v>
      </c>
    </row>
    <row r="166" spans="1:17" ht="30" customHeight="1">
      <c r="A166" s="15" t="s">
        <v>610</v>
      </c>
      <c r="B166" s="24" t="s">
        <v>611</v>
      </c>
      <c r="C166" s="18" t="s">
        <v>612</v>
      </c>
      <c r="D166" s="16" t="s">
        <v>1440</v>
      </c>
      <c r="E166" s="25" t="s">
        <v>20</v>
      </c>
      <c r="F166" s="91" t="s">
        <v>613</v>
      </c>
      <c r="G166" s="22" t="s">
        <v>22</v>
      </c>
      <c r="H166" s="22">
        <v>12</v>
      </c>
      <c r="I166" s="92">
        <f t="shared" si="2"/>
        <v>46042</v>
      </c>
      <c r="J166" s="16" t="s">
        <v>525</v>
      </c>
      <c r="K166" s="25">
        <v>2020</v>
      </c>
      <c r="L166" s="20" t="s">
        <v>614</v>
      </c>
      <c r="M166" s="32" t="s">
        <v>615</v>
      </c>
      <c r="N166" s="16" t="s">
        <v>36</v>
      </c>
      <c r="O166" s="18" t="s">
        <v>529</v>
      </c>
      <c r="P166" s="18" t="s">
        <v>27</v>
      </c>
      <c r="Q166" s="19" t="s">
        <v>28</v>
      </c>
    </row>
    <row r="167" spans="1:17" ht="30" customHeight="1">
      <c r="A167" s="15" t="s">
        <v>616</v>
      </c>
      <c r="B167" s="24" t="s">
        <v>617</v>
      </c>
      <c r="C167" s="18" t="s">
        <v>612</v>
      </c>
      <c r="D167" s="16" t="s">
        <v>1440</v>
      </c>
      <c r="E167" s="25" t="s">
        <v>20</v>
      </c>
      <c r="F167" s="91" t="s">
        <v>589</v>
      </c>
      <c r="G167" s="22" t="s">
        <v>22</v>
      </c>
      <c r="H167" s="22">
        <v>12</v>
      </c>
      <c r="I167" s="92">
        <f t="shared" si="2"/>
        <v>46025</v>
      </c>
      <c r="J167" s="16" t="s">
        <v>525</v>
      </c>
      <c r="K167" s="25">
        <v>2020</v>
      </c>
      <c r="L167" s="20" t="s">
        <v>614</v>
      </c>
      <c r="M167" s="32" t="s">
        <v>618</v>
      </c>
      <c r="N167" s="16" t="s">
        <v>36</v>
      </c>
      <c r="O167" s="18" t="s">
        <v>529</v>
      </c>
      <c r="P167" s="18" t="s">
        <v>27</v>
      </c>
      <c r="Q167" s="19" t="s">
        <v>28</v>
      </c>
    </row>
    <row r="168" spans="1:17" ht="30" customHeight="1">
      <c r="A168" s="15" t="s">
        <v>619</v>
      </c>
      <c r="B168" s="24" t="s">
        <v>620</v>
      </c>
      <c r="C168" s="18" t="s">
        <v>621</v>
      </c>
      <c r="D168" s="16" t="s">
        <v>1440</v>
      </c>
      <c r="E168" s="16" t="s">
        <v>146</v>
      </c>
      <c r="F168" s="91" t="s">
        <v>30</v>
      </c>
      <c r="G168" s="23" t="s">
        <v>30</v>
      </c>
      <c r="H168" s="23" t="s">
        <v>30</v>
      </c>
      <c r="I168" s="92" t="str">
        <f t="shared" si="2"/>
        <v>N/A</v>
      </c>
      <c r="J168" s="16" t="s">
        <v>525</v>
      </c>
      <c r="K168" s="25">
        <v>2020</v>
      </c>
      <c r="L168" s="20" t="s">
        <v>622</v>
      </c>
      <c r="M168" s="32" t="s">
        <v>623</v>
      </c>
      <c r="N168" s="16" t="s">
        <v>36</v>
      </c>
      <c r="O168" s="18" t="s">
        <v>529</v>
      </c>
      <c r="P168" s="18" t="s">
        <v>37</v>
      </c>
      <c r="Q168" s="19" t="s">
        <v>28</v>
      </c>
    </row>
    <row r="169" spans="1:17" ht="30" customHeight="1">
      <c r="A169" s="15" t="s">
        <v>624</v>
      </c>
      <c r="B169" s="24" t="s">
        <v>30</v>
      </c>
      <c r="C169" s="18" t="s">
        <v>621</v>
      </c>
      <c r="D169" s="16" t="s">
        <v>1440</v>
      </c>
      <c r="E169" s="16" t="s">
        <v>146</v>
      </c>
      <c r="F169" s="91" t="s">
        <v>30</v>
      </c>
      <c r="G169" s="91" t="s">
        <v>30</v>
      </c>
      <c r="H169" s="91" t="s">
        <v>30</v>
      </c>
      <c r="I169" s="92" t="str">
        <f t="shared" si="2"/>
        <v>N/A</v>
      </c>
      <c r="J169" s="16" t="s">
        <v>525</v>
      </c>
      <c r="K169" s="25">
        <v>2020</v>
      </c>
      <c r="L169" s="20" t="s">
        <v>622</v>
      </c>
      <c r="M169" s="32" t="s">
        <v>625</v>
      </c>
      <c r="N169" s="16" t="s">
        <v>36</v>
      </c>
      <c r="O169" s="18" t="s">
        <v>529</v>
      </c>
      <c r="P169" s="18" t="s">
        <v>37</v>
      </c>
      <c r="Q169" s="19" t="s">
        <v>28</v>
      </c>
    </row>
    <row r="170" spans="1:17" ht="30" customHeight="1">
      <c r="A170" s="15" t="s">
        <v>626</v>
      </c>
      <c r="B170" s="24" t="s">
        <v>627</v>
      </c>
      <c r="C170" s="18" t="s">
        <v>628</v>
      </c>
      <c r="D170" s="16" t="s">
        <v>1440</v>
      </c>
      <c r="E170" s="25" t="s">
        <v>20</v>
      </c>
      <c r="F170" s="91" t="s">
        <v>383</v>
      </c>
      <c r="G170" s="22" t="s">
        <v>22</v>
      </c>
      <c r="H170" s="22">
        <v>12</v>
      </c>
      <c r="I170" s="92">
        <f t="shared" si="2"/>
        <v>46024</v>
      </c>
      <c r="J170" s="16" t="s">
        <v>525</v>
      </c>
      <c r="K170" s="25">
        <v>2020</v>
      </c>
      <c r="L170" s="20" t="s">
        <v>629</v>
      </c>
      <c r="M170" s="32" t="s">
        <v>630</v>
      </c>
      <c r="N170" s="16" t="s">
        <v>36</v>
      </c>
      <c r="O170" s="18" t="s">
        <v>529</v>
      </c>
      <c r="P170" s="18" t="s">
        <v>27</v>
      </c>
      <c r="Q170" s="19" t="s">
        <v>28</v>
      </c>
    </row>
    <row r="171" spans="1:17" ht="30" customHeight="1">
      <c r="A171" s="15" t="s">
        <v>631</v>
      </c>
      <c r="B171" s="24" t="s">
        <v>632</v>
      </c>
      <c r="C171" s="18" t="s">
        <v>628</v>
      </c>
      <c r="D171" s="16" t="s">
        <v>1440</v>
      </c>
      <c r="E171" s="25" t="s">
        <v>20</v>
      </c>
      <c r="F171" s="91">
        <v>45677</v>
      </c>
      <c r="G171" s="22" t="s">
        <v>22</v>
      </c>
      <c r="H171" s="22">
        <v>12</v>
      </c>
      <c r="I171" s="92">
        <f t="shared" si="2"/>
        <v>46042</v>
      </c>
      <c r="J171" s="16" t="s">
        <v>525</v>
      </c>
      <c r="K171" s="25">
        <v>2020</v>
      </c>
      <c r="L171" s="20" t="s">
        <v>629</v>
      </c>
      <c r="M171" s="32" t="s">
        <v>633</v>
      </c>
      <c r="N171" s="16" t="s">
        <v>36</v>
      </c>
      <c r="O171" s="18" t="s">
        <v>529</v>
      </c>
      <c r="P171" s="18" t="s">
        <v>27</v>
      </c>
      <c r="Q171" s="19" t="s">
        <v>28</v>
      </c>
    </row>
    <row r="172" spans="1:17" ht="30" customHeight="1">
      <c r="A172" s="15" t="s">
        <v>634</v>
      </c>
      <c r="B172" s="24" t="s">
        <v>635</v>
      </c>
      <c r="C172" s="18" t="s">
        <v>628</v>
      </c>
      <c r="D172" s="16" t="s">
        <v>1440</v>
      </c>
      <c r="E172" s="25" t="s">
        <v>20</v>
      </c>
      <c r="F172" s="91">
        <v>45677</v>
      </c>
      <c r="G172" s="22" t="s">
        <v>22</v>
      </c>
      <c r="H172" s="22">
        <v>12</v>
      </c>
      <c r="I172" s="92">
        <f t="shared" si="2"/>
        <v>46042</v>
      </c>
      <c r="J172" s="16" t="s">
        <v>525</v>
      </c>
      <c r="K172" s="25">
        <v>2020</v>
      </c>
      <c r="L172" s="20" t="s">
        <v>629</v>
      </c>
      <c r="M172" s="32" t="s">
        <v>636</v>
      </c>
      <c r="N172" s="16" t="s">
        <v>36</v>
      </c>
      <c r="O172" s="18" t="s">
        <v>529</v>
      </c>
      <c r="P172" s="18" t="s">
        <v>27</v>
      </c>
      <c r="Q172" s="19" t="s">
        <v>28</v>
      </c>
    </row>
    <row r="173" spans="1:17" ht="30" customHeight="1">
      <c r="A173" s="15" t="s">
        <v>637</v>
      </c>
      <c r="B173" s="24" t="s">
        <v>638</v>
      </c>
      <c r="C173" s="18" t="s">
        <v>628</v>
      </c>
      <c r="D173" s="16" t="s">
        <v>1440</v>
      </c>
      <c r="E173" s="25" t="s">
        <v>20</v>
      </c>
      <c r="F173" s="91" t="s">
        <v>383</v>
      </c>
      <c r="G173" s="22" t="s">
        <v>22</v>
      </c>
      <c r="H173" s="22">
        <v>24</v>
      </c>
      <c r="I173" s="92">
        <f t="shared" si="2"/>
        <v>46389</v>
      </c>
      <c r="J173" s="16" t="s">
        <v>525</v>
      </c>
      <c r="K173" s="25">
        <v>2020</v>
      </c>
      <c r="L173" s="20" t="s">
        <v>629</v>
      </c>
      <c r="M173" s="32" t="s">
        <v>639</v>
      </c>
      <c r="N173" s="16" t="s">
        <v>36</v>
      </c>
      <c r="O173" s="18" t="s">
        <v>529</v>
      </c>
      <c r="P173" s="18" t="s">
        <v>27</v>
      </c>
      <c r="Q173" s="19" t="s">
        <v>28</v>
      </c>
    </row>
    <row r="174" spans="1:17" ht="30" customHeight="1">
      <c r="A174" s="15" t="s">
        <v>640</v>
      </c>
      <c r="B174" s="24" t="s">
        <v>641</v>
      </c>
      <c r="C174" s="18" t="s">
        <v>304</v>
      </c>
      <c r="D174" s="16" t="s">
        <v>1440</v>
      </c>
      <c r="E174" s="25" t="s">
        <v>20</v>
      </c>
      <c r="F174" s="91" t="s">
        <v>30</v>
      </c>
      <c r="G174" s="23" t="s">
        <v>30</v>
      </c>
      <c r="H174" s="23" t="s">
        <v>30</v>
      </c>
      <c r="I174" s="92" t="str">
        <f t="shared" si="2"/>
        <v>N/A</v>
      </c>
      <c r="J174" s="16" t="s">
        <v>56</v>
      </c>
      <c r="K174" s="25">
        <v>2019</v>
      </c>
      <c r="L174" s="20">
        <v>3117</v>
      </c>
      <c r="M174" s="32" t="s">
        <v>642</v>
      </c>
      <c r="N174" s="16" t="s">
        <v>643</v>
      </c>
      <c r="O174" s="18" t="s">
        <v>26</v>
      </c>
      <c r="P174" s="18" t="s">
        <v>27</v>
      </c>
      <c r="Q174" s="19" t="s">
        <v>28</v>
      </c>
    </row>
    <row r="175" spans="1:17" ht="30" customHeight="1">
      <c r="A175" s="15" t="s">
        <v>644</v>
      </c>
      <c r="B175" s="24" t="s">
        <v>645</v>
      </c>
      <c r="C175" s="18" t="s">
        <v>646</v>
      </c>
      <c r="D175" s="16" t="s">
        <v>1440</v>
      </c>
      <c r="E175" s="16" t="s">
        <v>32</v>
      </c>
      <c r="F175" s="91" t="s">
        <v>30</v>
      </c>
      <c r="G175" s="23" t="s">
        <v>30</v>
      </c>
      <c r="H175" s="23" t="s">
        <v>30</v>
      </c>
      <c r="I175" s="92" t="str">
        <f t="shared" si="2"/>
        <v>N/A</v>
      </c>
      <c r="J175" s="16" t="s">
        <v>647</v>
      </c>
      <c r="K175" s="25">
        <v>2020</v>
      </c>
      <c r="L175" s="20" t="s">
        <v>648</v>
      </c>
      <c r="M175" s="32" t="s">
        <v>649</v>
      </c>
      <c r="N175" s="16" t="s">
        <v>36</v>
      </c>
      <c r="O175" s="18" t="s">
        <v>529</v>
      </c>
      <c r="P175" s="18" t="s">
        <v>37</v>
      </c>
      <c r="Q175" s="19" t="s">
        <v>489</v>
      </c>
    </row>
    <row r="176" spans="1:17" ht="30" customHeight="1">
      <c r="A176" s="15" t="s">
        <v>650</v>
      </c>
      <c r="B176" s="24" t="s">
        <v>30</v>
      </c>
      <c r="C176" s="18" t="s">
        <v>651</v>
      </c>
      <c r="D176" s="16" t="s">
        <v>1440</v>
      </c>
      <c r="E176" s="16" t="s">
        <v>32</v>
      </c>
      <c r="F176" s="91" t="s">
        <v>30</v>
      </c>
      <c r="G176" s="23" t="s">
        <v>30</v>
      </c>
      <c r="H176" s="23" t="s">
        <v>30</v>
      </c>
      <c r="I176" s="92" t="str">
        <f t="shared" si="2"/>
        <v>N/A</v>
      </c>
      <c r="J176" s="16" t="s">
        <v>652</v>
      </c>
      <c r="K176" s="25">
        <v>2020</v>
      </c>
      <c r="L176" s="20" t="s">
        <v>653</v>
      </c>
      <c r="M176" s="32" t="s">
        <v>654</v>
      </c>
      <c r="N176" s="16" t="s">
        <v>36</v>
      </c>
      <c r="O176" s="18" t="s">
        <v>529</v>
      </c>
      <c r="P176" s="18" t="s">
        <v>37</v>
      </c>
      <c r="Q176" s="19" t="s">
        <v>489</v>
      </c>
    </row>
    <row r="177" spans="1:17" ht="30" customHeight="1">
      <c r="A177" s="15" t="s">
        <v>655</v>
      </c>
      <c r="B177" s="24" t="s">
        <v>30</v>
      </c>
      <c r="C177" s="18" t="s">
        <v>651</v>
      </c>
      <c r="D177" s="16" t="s">
        <v>1440</v>
      </c>
      <c r="E177" s="16" t="s">
        <v>32</v>
      </c>
      <c r="F177" s="23" t="s">
        <v>30</v>
      </c>
      <c r="G177" s="23" t="s">
        <v>30</v>
      </c>
      <c r="H177" s="23" t="s">
        <v>30</v>
      </c>
      <c r="I177" s="92" t="str">
        <f t="shared" si="2"/>
        <v>N/A</v>
      </c>
      <c r="J177" s="16" t="s">
        <v>652</v>
      </c>
      <c r="K177" s="25">
        <v>2020</v>
      </c>
      <c r="L177" s="20" t="s">
        <v>653</v>
      </c>
      <c r="M177" s="32" t="s">
        <v>656</v>
      </c>
      <c r="N177" s="16" t="s">
        <v>36</v>
      </c>
      <c r="O177" s="18" t="s">
        <v>529</v>
      </c>
      <c r="P177" s="18" t="s">
        <v>37</v>
      </c>
      <c r="Q177" s="19" t="s">
        <v>489</v>
      </c>
    </row>
    <row r="178" spans="1:17" ht="30" customHeight="1">
      <c r="A178" s="15" t="s">
        <v>657</v>
      </c>
      <c r="B178" s="24" t="s">
        <v>30</v>
      </c>
      <c r="C178" s="18" t="s">
        <v>487</v>
      </c>
      <c r="D178" s="16" t="s">
        <v>1440</v>
      </c>
      <c r="E178" s="16" t="s">
        <v>32</v>
      </c>
      <c r="F178" s="23" t="s">
        <v>30</v>
      </c>
      <c r="G178" s="23" t="s">
        <v>30</v>
      </c>
      <c r="H178" s="23" t="s">
        <v>30</v>
      </c>
      <c r="I178" s="92" t="str">
        <f t="shared" si="2"/>
        <v>N/A</v>
      </c>
      <c r="J178" s="16" t="s">
        <v>658</v>
      </c>
      <c r="K178" s="25">
        <v>2020</v>
      </c>
      <c r="L178" s="20" t="s">
        <v>659</v>
      </c>
      <c r="M178" s="32">
        <v>15542</v>
      </c>
      <c r="N178" s="16" t="s">
        <v>36</v>
      </c>
      <c r="O178" s="18" t="s">
        <v>529</v>
      </c>
      <c r="P178" s="18" t="s">
        <v>37</v>
      </c>
      <c r="Q178" s="19" t="s">
        <v>489</v>
      </c>
    </row>
    <row r="179" spans="1:17" ht="30" customHeight="1">
      <c r="A179" s="15" t="s">
        <v>660</v>
      </c>
      <c r="B179" s="24" t="s">
        <v>30</v>
      </c>
      <c r="C179" s="18" t="s">
        <v>661</v>
      </c>
      <c r="D179" s="16" t="s">
        <v>1440</v>
      </c>
      <c r="E179" s="16" t="s">
        <v>20</v>
      </c>
      <c r="F179" s="91">
        <v>45677</v>
      </c>
      <c r="G179" s="22" t="s">
        <v>662</v>
      </c>
      <c r="H179" s="22">
        <v>24</v>
      </c>
      <c r="I179" s="92">
        <f t="shared" si="2"/>
        <v>46407</v>
      </c>
      <c r="J179" s="16" t="s">
        <v>663</v>
      </c>
      <c r="K179" s="25">
        <v>2020</v>
      </c>
      <c r="L179" s="20" t="s">
        <v>664</v>
      </c>
      <c r="M179" s="32" t="s">
        <v>665</v>
      </c>
      <c r="N179" s="16" t="s">
        <v>666</v>
      </c>
      <c r="O179" s="18" t="s">
        <v>529</v>
      </c>
      <c r="P179" s="18" t="s">
        <v>27</v>
      </c>
      <c r="Q179" s="19" t="s">
        <v>28</v>
      </c>
    </row>
    <row r="180" spans="1:17" ht="30" customHeight="1">
      <c r="A180" s="15" t="s">
        <v>667</v>
      </c>
      <c r="B180" s="24" t="s">
        <v>30</v>
      </c>
      <c r="C180" s="18" t="s">
        <v>661</v>
      </c>
      <c r="D180" s="16" t="s">
        <v>1440</v>
      </c>
      <c r="E180" s="16" t="s">
        <v>20</v>
      </c>
      <c r="F180" s="91">
        <v>45677</v>
      </c>
      <c r="G180" s="22" t="s">
        <v>662</v>
      </c>
      <c r="H180" s="22">
        <v>24</v>
      </c>
      <c r="I180" s="92">
        <f t="shared" si="2"/>
        <v>46407</v>
      </c>
      <c r="J180" s="16" t="s">
        <v>663</v>
      </c>
      <c r="K180" s="25">
        <v>2020</v>
      </c>
      <c r="L180" s="20" t="s">
        <v>664</v>
      </c>
      <c r="M180" s="32" t="s">
        <v>668</v>
      </c>
      <c r="N180" s="16" t="s">
        <v>666</v>
      </c>
      <c r="O180" s="18" t="s">
        <v>529</v>
      </c>
      <c r="P180" s="18" t="s">
        <v>27</v>
      </c>
      <c r="Q180" s="19" t="s">
        <v>28</v>
      </c>
    </row>
    <row r="181" spans="1:17" ht="30" customHeight="1">
      <c r="A181" s="15" t="s">
        <v>669</v>
      </c>
      <c r="B181" s="24" t="s">
        <v>30</v>
      </c>
      <c r="C181" s="18" t="s">
        <v>661</v>
      </c>
      <c r="D181" s="16" t="s">
        <v>1440</v>
      </c>
      <c r="E181" s="16" t="s">
        <v>20</v>
      </c>
      <c r="F181" s="91">
        <v>45677</v>
      </c>
      <c r="G181" s="22" t="s">
        <v>662</v>
      </c>
      <c r="H181" s="22">
        <v>24</v>
      </c>
      <c r="I181" s="92">
        <f t="shared" si="2"/>
        <v>46407</v>
      </c>
      <c r="J181" s="16" t="s">
        <v>663</v>
      </c>
      <c r="K181" s="25">
        <v>2020</v>
      </c>
      <c r="L181" s="20" t="s">
        <v>670</v>
      </c>
      <c r="M181" s="32" t="s">
        <v>671</v>
      </c>
      <c r="N181" s="16" t="s">
        <v>536</v>
      </c>
      <c r="O181" s="18" t="s">
        <v>529</v>
      </c>
      <c r="P181" s="18" t="s">
        <v>27</v>
      </c>
      <c r="Q181" s="19" t="s">
        <v>28</v>
      </c>
    </row>
    <row r="182" spans="1:17" ht="30" customHeight="1">
      <c r="A182" s="15" t="s">
        <v>672</v>
      </c>
      <c r="B182" s="24" t="s">
        <v>30</v>
      </c>
      <c r="C182" s="18" t="s">
        <v>661</v>
      </c>
      <c r="D182" s="16" t="s">
        <v>1440</v>
      </c>
      <c r="E182" s="16" t="s">
        <v>20</v>
      </c>
      <c r="F182" s="91">
        <v>45677</v>
      </c>
      <c r="G182" s="22" t="s">
        <v>662</v>
      </c>
      <c r="H182" s="22">
        <v>24</v>
      </c>
      <c r="I182" s="92">
        <f t="shared" si="2"/>
        <v>46407</v>
      </c>
      <c r="J182" s="16" t="s">
        <v>663</v>
      </c>
      <c r="K182" s="25">
        <v>2020</v>
      </c>
      <c r="L182" s="20" t="s">
        <v>670</v>
      </c>
      <c r="M182" s="32" t="s">
        <v>673</v>
      </c>
      <c r="N182" s="16" t="s">
        <v>536</v>
      </c>
      <c r="O182" s="18" t="s">
        <v>529</v>
      </c>
      <c r="P182" s="18" t="s">
        <v>27</v>
      </c>
      <c r="Q182" s="19" t="s">
        <v>28</v>
      </c>
    </row>
    <row r="183" spans="1:17" ht="30" customHeight="1">
      <c r="A183" s="15" t="s">
        <v>674</v>
      </c>
      <c r="B183" s="24" t="s">
        <v>30</v>
      </c>
      <c r="C183" s="18" t="s">
        <v>661</v>
      </c>
      <c r="D183" s="16" t="s">
        <v>1440</v>
      </c>
      <c r="E183" s="25" t="s">
        <v>20</v>
      </c>
      <c r="F183" s="91">
        <v>45677</v>
      </c>
      <c r="G183" s="22" t="s">
        <v>662</v>
      </c>
      <c r="H183" s="22">
        <v>24</v>
      </c>
      <c r="I183" s="92">
        <f t="shared" si="2"/>
        <v>46407</v>
      </c>
      <c r="J183" s="16" t="s">
        <v>663</v>
      </c>
      <c r="K183" s="25">
        <v>2020</v>
      </c>
      <c r="L183" s="20" t="s">
        <v>675</v>
      </c>
      <c r="M183" s="32" t="s">
        <v>676</v>
      </c>
      <c r="N183" s="16" t="s">
        <v>541</v>
      </c>
      <c r="O183" s="18" t="s">
        <v>529</v>
      </c>
      <c r="P183" s="18" t="s">
        <v>27</v>
      </c>
      <c r="Q183" s="19" t="s">
        <v>28</v>
      </c>
    </row>
    <row r="184" spans="1:17" ht="30" customHeight="1">
      <c r="A184" s="15" t="s">
        <v>677</v>
      </c>
      <c r="B184" s="24" t="s">
        <v>30</v>
      </c>
      <c r="C184" s="18" t="s">
        <v>661</v>
      </c>
      <c r="D184" s="16" t="s">
        <v>1440</v>
      </c>
      <c r="E184" s="25" t="s">
        <v>20</v>
      </c>
      <c r="F184" s="91">
        <v>45677</v>
      </c>
      <c r="G184" s="22" t="s">
        <v>662</v>
      </c>
      <c r="H184" s="22">
        <v>24</v>
      </c>
      <c r="I184" s="92">
        <f t="shared" si="2"/>
        <v>46407</v>
      </c>
      <c r="J184" s="16" t="s">
        <v>663</v>
      </c>
      <c r="K184" s="25">
        <v>2020</v>
      </c>
      <c r="L184" s="20" t="s">
        <v>675</v>
      </c>
      <c r="M184" s="32" t="s">
        <v>678</v>
      </c>
      <c r="N184" s="16" t="s">
        <v>541</v>
      </c>
      <c r="O184" s="18" t="s">
        <v>529</v>
      </c>
      <c r="P184" s="18" t="s">
        <v>27</v>
      </c>
      <c r="Q184" s="19" t="s">
        <v>28</v>
      </c>
    </row>
    <row r="185" spans="1:17" ht="30" customHeight="1">
      <c r="A185" s="15" t="s">
        <v>679</v>
      </c>
      <c r="B185" s="24" t="s">
        <v>30</v>
      </c>
      <c r="C185" s="18" t="s">
        <v>661</v>
      </c>
      <c r="D185" s="16" t="s">
        <v>1440</v>
      </c>
      <c r="E185" s="16" t="s">
        <v>20</v>
      </c>
      <c r="F185" s="91">
        <v>45677</v>
      </c>
      <c r="G185" s="22" t="s">
        <v>662</v>
      </c>
      <c r="H185" s="22">
        <v>24</v>
      </c>
      <c r="I185" s="92">
        <f t="shared" si="2"/>
        <v>46407</v>
      </c>
      <c r="J185" s="16" t="s">
        <v>663</v>
      </c>
      <c r="K185" s="25">
        <v>2020</v>
      </c>
      <c r="L185" s="20" t="s">
        <v>680</v>
      </c>
      <c r="M185" s="32" t="s">
        <v>681</v>
      </c>
      <c r="N185" s="16" t="s">
        <v>546</v>
      </c>
      <c r="O185" s="18" t="s">
        <v>529</v>
      </c>
      <c r="P185" s="18" t="s">
        <v>27</v>
      </c>
      <c r="Q185" s="19" t="s">
        <v>28</v>
      </c>
    </row>
    <row r="186" spans="1:17" ht="30" customHeight="1">
      <c r="A186" s="15" t="s">
        <v>682</v>
      </c>
      <c r="B186" s="24" t="s">
        <v>30</v>
      </c>
      <c r="C186" s="18" t="s">
        <v>661</v>
      </c>
      <c r="D186" s="16" t="s">
        <v>1440</v>
      </c>
      <c r="E186" s="16" t="s">
        <v>20</v>
      </c>
      <c r="F186" s="91">
        <v>45677</v>
      </c>
      <c r="G186" s="22" t="s">
        <v>662</v>
      </c>
      <c r="H186" s="22">
        <v>24</v>
      </c>
      <c r="I186" s="92">
        <f t="shared" si="2"/>
        <v>46407</v>
      </c>
      <c r="J186" s="16" t="s">
        <v>663</v>
      </c>
      <c r="K186" s="25">
        <v>2020</v>
      </c>
      <c r="L186" s="20" t="s">
        <v>680</v>
      </c>
      <c r="M186" s="32" t="s">
        <v>683</v>
      </c>
      <c r="N186" s="16" t="s">
        <v>546</v>
      </c>
      <c r="O186" s="18" t="s">
        <v>529</v>
      </c>
      <c r="P186" s="18" t="s">
        <v>27</v>
      </c>
      <c r="Q186" s="19" t="s">
        <v>28</v>
      </c>
    </row>
    <row r="187" spans="1:17" ht="30" customHeight="1">
      <c r="A187" s="15" t="s">
        <v>684</v>
      </c>
      <c r="B187" s="24" t="s">
        <v>30</v>
      </c>
      <c r="C187" s="18" t="s">
        <v>661</v>
      </c>
      <c r="D187" s="16" t="s">
        <v>1440</v>
      </c>
      <c r="E187" s="16" t="s">
        <v>20</v>
      </c>
      <c r="F187" s="91">
        <v>45677</v>
      </c>
      <c r="G187" s="22" t="s">
        <v>662</v>
      </c>
      <c r="H187" s="22">
        <v>24</v>
      </c>
      <c r="I187" s="92">
        <f t="shared" si="2"/>
        <v>46407</v>
      </c>
      <c r="J187" s="16" t="s">
        <v>663</v>
      </c>
      <c r="K187" s="25">
        <v>2020</v>
      </c>
      <c r="L187" s="20" t="s">
        <v>685</v>
      </c>
      <c r="M187" s="32" t="s">
        <v>686</v>
      </c>
      <c r="N187" s="16" t="s">
        <v>551</v>
      </c>
      <c r="O187" s="18" t="s">
        <v>529</v>
      </c>
      <c r="P187" s="18" t="s">
        <v>27</v>
      </c>
      <c r="Q187" s="19" t="s">
        <v>28</v>
      </c>
    </row>
    <row r="188" spans="1:17" ht="30" customHeight="1">
      <c r="A188" s="15" t="s">
        <v>687</v>
      </c>
      <c r="B188" s="24" t="s">
        <v>30</v>
      </c>
      <c r="C188" s="18" t="s">
        <v>661</v>
      </c>
      <c r="D188" s="16" t="s">
        <v>1440</v>
      </c>
      <c r="E188" s="16" t="s">
        <v>20</v>
      </c>
      <c r="F188" s="91">
        <v>45677</v>
      </c>
      <c r="G188" s="22" t="s">
        <v>662</v>
      </c>
      <c r="H188" s="22">
        <v>24</v>
      </c>
      <c r="I188" s="92">
        <f t="shared" si="2"/>
        <v>46407</v>
      </c>
      <c r="J188" s="16" t="s">
        <v>663</v>
      </c>
      <c r="K188" s="25">
        <v>2020</v>
      </c>
      <c r="L188" s="20" t="s">
        <v>685</v>
      </c>
      <c r="M188" s="32" t="s">
        <v>688</v>
      </c>
      <c r="N188" s="16" t="s">
        <v>551</v>
      </c>
      <c r="O188" s="18" t="s">
        <v>529</v>
      </c>
      <c r="P188" s="18" t="s">
        <v>27</v>
      </c>
      <c r="Q188" s="19" t="s">
        <v>28</v>
      </c>
    </row>
    <row r="189" spans="1:17" ht="30" customHeight="1">
      <c r="A189" s="15" t="s">
        <v>689</v>
      </c>
      <c r="B189" s="24" t="s">
        <v>30</v>
      </c>
      <c r="C189" s="18" t="s">
        <v>661</v>
      </c>
      <c r="D189" s="16" t="s">
        <v>1440</v>
      </c>
      <c r="E189" s="16" t="s">
        <v>20</v>
      </c>
      <c r="F189" s="91">
        <v>45677</v>
      </c>
      <c r="G189" s="22" t="s">
        <v>662</v>
      </c>
      <c r="H189" s="22">
        <v>24</v>
      </c>
      <c r="I189" s="92">
        <f t="shared" si="2"/>
        <v>46407</v>
      </c>
      <c r="J189" s="16" t="s">
        <v>663</v>
      </c>
      <c r="K189" s="25">
        <v>2020</v>
      </c>
      <c r="L189" s="20" t="s">
        <v>690</v>
      </c>
      <c r="M189" s="32" t="s">
        <v>691</v>
      </c>
      <c r="N189" s="16" t="s">
        <v>556</v>
      </c>
      <c r="O189" s="18" t="s">
        <v>529</v>
      </c>
      <c r="P189" s="18" t="s">
        <v>27</v>
      </c>
      <c r="Q189" s="19" t="s">
        <v>28</v>
      </c>
    </row>
    <row r="190" spans="1:17" ht="30" customHeight="1">
      <c r="A190" s="15" t="s">
        <v>692</v>
      </c>
      <c r="B190" s="24" t="s">
        <v>30</v>
      </c>
      <c r="C190" s="18" t="s">
        <v>661</v>
      </c>
      <c r="D190" s="16" t="s">
        <v>1440</v>
      </c>
      <c r="E190" s="16" t="s">
        <v>20</v>
      </c>
      <c r="F190" s="91">
        <v>45677</v>
      </c>
      <c r="G190" s="22" t="s">
        <v>662</v>
      </c>
      <c r="H190" s="22">
        <v>24</v>
      </c>
      <c r="I190" s="92">
        <f t="shared" si="2"/>
        <v>46407</v>
      </c>
      <c r="J190" s="16" t="s">
        <v>663</v>
      </c>
      <c r="K190" s="25">
        <v>2020</v>
      </c>
      <c r="L190" s="20" t="s">
        <v>690</v>
      </c>
      <c r="M190" s="32" t="s">
        <v>693</v>
      </c>
      <c r="N190" s="16" t="s">
        <v>556</v>
      </c>
      <c r="O190" s="18" t="s">
        <v>529</v>
      </c>
      <c r="P190" s="18" t="s">
        <v>27</v>
      </c>
      <c r="Q190" s="19" t="s">
        <v>28</v>
      </c>
    </row>
    <row r="191" spans="1:17" ht="30" customHeight="1">
      <c r="A191" s="15" t="s">
        <v>694</v>
      </c>
      <c r="B191" s="24" t="s">
        <v>30</v>
      </c>
      <c r="C191" s="18" t="s">
        <v>661</v>
      </c>
      <c r="D191" s="16" t="s">
        <v>1440</v>
      </c>
      <c r="E191" s="25" t="s">
        <v>20</v>
      </c>
      <c r="F191" s="91">
        <v>45677</v>
      </c>
      <c r="G191" s="22" t="s">
        <v>662</v>
      </c>
      <c r="H191" s="22">
        <v>24</v>
      </c>
      <c r="I191" s="92">
        <f t="shared" si="2"/>
        <v>46407</v>
      </c>
      <c r="J191" s="16" t="s">
        <v>663</v>
      </c>
      <c r="K191" s="25">
        <v>2020</v>
      </c>
      <c r="L191" s="20" t="s">
        <v>695</v>
      </c>
      <c r="M191" s="32" t="s">
        <v>696</v>
      </c>
      <c r="N191" s="16" t="s">
        <v>697</v>
      </c>
      <c r="O191" s="18" t="s">
        <v>529</v>
      </c>
      <c r="P191" s="18" t="s">
        <v>27</v>
      </c>
      <c r="Q191" s="19" t="s">
        <v>28</v>
      </c>
    </row>
    <row r="192" spans="1:17" ht="30" customHeight="1">
      <c r="A192" s="15" t="s">
        <v>698</v>
      </c>
      <c r="B192" s="24" t="s">
        <v>30</v>
      </c>
      <c r="C192" s="18" t="s">
        <v>661</v>
      </c>
      <c r="D192" s="16" t="s">
        <v>1440</v>
      </c>
      <c r="E192" s="25" t="s">
        <v>20</v>
      </c>
      <c r="F192" s="91">
        <v>45677</v>
      </c>
      <c r="G192" s="22" t="s">
        <v>662</v>
      </c>
      <c r="H192" s="22">
        <v>24</v>
      </c>
      <c r="I192" s="92">
        <f t="shared" si="2"/>
        <v>46407</v>
      </c>
      <c r="J192" s="16" t="s">
        <v>663</v>
      </c>
      <c r="K192" s="25">
        <v>2020</v>
      </c>
      <c r="L192" s="20" t="s">
        <v>695</v>
      </c>
      <c r="M192" s="32" t="s">
        <v>699</v>
      </c>
      <c r="N192" s="16" t="s">
        <v>697</v>
      </c>
      <c r="O192" s="18" t="s">
        <v>529</v>
      </c>
      <c r="P192" s="18" t="s">
        <v>27</v>
      </c>
      <c r="Q192" s="19" t="s">
        <v>28</v>
      </c>
    </row>
    <row r="193" spans="1:17" ht="30" customHeight="1">
      <c r="A193" s="15" t="s">
        <v>700</v>
      </c>
      <c r="B193" s="24" t="s">
        <v>701</v>
      </c>
      <c r="C193" s="18" t="s">
        <v>214</v>
      </c>
      <c r="D193" s="16" t="s">
        <v>1440</v>
      </c>
      <c r="E193" s="16" t="s">
        <v>20</v>
      </c>
      <c r="F193" s="23" t="s">
        <v>702</v>
      </c>
      <c r="G193" s="22" t="s">
        <v>22</v>
      </c>
      <c r="H193" s="22">
        <v>12</v>
      </c>
      <c r="I193" s="92">
        <f t="shared" si="2"/>
        <v>46038</v>
      </c>
      <c r="J193" s="16" t="s">
        <v>703</v>
      </c>
      <c r="K193" s="25">
        <v>2020</v>
      </c>
      <c r="L193" s="20">
        <v>25110</v>
      </c>
      <c r="M193" s="32">
        <v>266894</v>
      </c>
      <c r="N193" s="16" t="s">
        <v>536</v>
      </c>
      <c r="O193" s="18" t="s">
        <v>529</v>
      </c>
      <c r="P193" s="18" t="s">
        <v>37</v>
      </c>
      <c r="Q193" s="19" t="s">
        <v>28</v>
      </c>
    </row>
    <row r="194" spans="1:17" ht="30" customHeight="1">
      <c r="A194" s="15" t="s">
        <v>704</v>
      </c>
      <c r="B194" s="24" t="s">
        <v>705</v>
      </c>
      <c r="C194" s="18" t="s">
        <v>214</v>
      </c>
      <c r="D194" s="16" t="s">
        <v>1440</v>
      </c>
      <c r="E194" s="16" t="s">
        <v>32</v>
      </c>
      <c r="F194" s="23" t="s">
        <v>30</v>
      </c>
      <c r="G194" s="23" t="s">
        <v>30</v>
      </c>
      <c r="H194" s="23" t="s">
        <v>30</v>
      </c>
      <c r="I194" s="92" t="str">
        <f t="shared" si="2"/>
        <v>N/A</v>
      </c>
      <c r="J194" s="16" t="s">
        <v>706</v>
      </c>
      <c r="K194" s="25">
        <v>2020</v>
      </c>
      <c r="L194" s="20" t="s">
        <v>707</v>
      </c>
      <c r="M194" s="32" t="s">
        <v>708</v>
      </c>
      <c r="N194" s="16" t="s">
        <v>536</v>
      </c>
      <c r="O194" s="18" t="s">
        <v>529</v>
      </c>
      <c r="P194" s="18" t="s">
        <v>37</v>
      </c>
      <c r="Q194" s="19" t="s">
        <v>489</v>
      </c>
    </row>
    <row r="195" spans="1:17" ht="30" customHeight="1">
      <c r="A195" s="15" t="s">
        <v>709</v>
      </c>
      <c r="B195" s="24" t="s">
        <v>710</v>
      </c>
      <c r="C195" s="18" t="s">
        <v>711</v>
      </c>
      <c r="D195" s="16" t="s">
        <v>1440</v>
      </c>
      <c r="E195" s="16" t="s">
        <v>32</v>
      </c>
      <c r="F195" s="23" t="s">
        <v>30</v>
      </c>
      <c r="G195" s="23" t="s">
        <v>30</v>
      </c>
      <c r="H195" s="23" t="s">
        <v>30</v>
      </c>
      <c r="I195" s="92" t="str">
        <f t="shared" ref="I195:I258" si="3">IF(H195=12,DATE(YEAR(F195)+1,MONTH(F195),DAY(F195)),IF(H195=24,DATE(YEAR(F195)+2,MONTH(F195),DAY(F195)),IF(H195="N/A","N/A")))</f>
        <v>N/A</v>
      </c>
      <c r="J195" s="16" t="s">
        <v>706</v>
      </c>
      <c r="K195" s="25">
        <v>2020</v>
      </c>
      <c r="L195" s="20" t="s">
        <v>712</v>
      </c>
      <c r="M195" s="32" t="s">
        <v>708</v>
      </c>
      <c r="N195" s="16" t="s">
        <v>536</v>
      </c>
      <c r="O195" s="18" t="s">
        <v>529</v>
      </c>
      <c r="P195" s="18" t="s">
        <v>37</v>
      </c>
      <c r="Q195" s="19" t="s">
        <v>489</v>
      </c>
    </row>
    <row r="196" spans="1:17" ht="30" customHeight="1">
      <c r="A196" s="15" t="s">
        <v>713</v>
      </c>
      <c r="B196" s="24" t="s">
        <v>30</v>
      </c>
      <c r="C196" s="18" t="s">
        <v>714</v>
      </c>
      <c r="D196" s="16" t="s">
        <v>1440</v>
      </c>
      <c r="E196" s="16" t="s">
        <v>32</v>
      </c>
      <c r="F196" s="23" t="s">
        <v>30</v>
      </c>
      <c r="G196" s="23" t="s">
        <v>30</v>
      </c>
      <c r="H196" s="23" t="s">
        <v>30</v>
      </c>
      <c r="I196" s="92" t="str">
        <f t="shared" si="3"/>
        <v>N/A</v>
      </c>
      <c r="J196" s="16" t="s">
        <v>715</v>
      </c>
      <c r="K196" s="25">
        <v>2020</v>
      </c>
      <c r="L196" s="20" t="s">
        <v>716</v>
      </c>
      <c r="M196" s="32">
        <v>16438</v>
      </c>
      <c r="N196" s="16" t="s">
        <v>536</v>
      </c>
      <c r="O196" s="18" t="s">
        <v>529</v>
      </c>
      <c r="P196" s="18" t="s">
        <v>37</v>
      </c>
      <c r="Q196" s="19" t="s">
        <v>489</v>
      </c>
    </row>
    <row r="197" spans="1:17" ht="30" customHeight="1">
      <c r="A197" s="15" t="s">
        <v>717</v>
      </c>
      <c r="B197" s="24" t="s">
        <v>30</v>
      </c>
      <c r="C197" s="18" t="s">
        <v>714</v>
      </c>
      <c r="D197" s="16" t="s">
        <v>1440</v>
      </c>
      <c r="E197" s="16" t="s">
        <v>32</v>
      </c>
      <c r="F197" s="23" t="s">
        <v>30</v>
      </c>
      <c r="G197" s="23" t="s">
        <v>30</v>
      </c>
      <c r="H197" s="23" t="s">
        <v>30</v>
      </c>
      <c r="I197" s="92" t="str">
        <f t="shared" si="3"/>
        <v>N/A</v>
      </c>
      <c r="J197" s="16" t="s">
        <v>715</v>
      </c>
      <c r="K197" s="25">
        <v>2020</v>
      </c>
      <c r="L197" s="20" t="s">
        <v>716</v>
      </c>
      <c r="M197" s="32">
        <v>16469</v>
      </c>
      <c r="N197" s="16" t="s">
        <v>536</v>
      </c>
      <c r="O197" s="18" t="s">
        <v>529</v>
      </c>
      <c r="P197" s="18" t="s">
        <v>37</v>
      </c>
      <c r="Q197" s="19" t="s">
        <v>489</v>
      </c>
    </row>
    <row r="198" spans="1:17" ht="30" customHeight="1">
      <c r="A198" s="15" t="s">
        <v>718</v>
      </c>
      <c r="B198" s="24" t="s">
        <v>30</v>
      </c>
      <c r="C198" s="18" t="s">
        <v>714</v>
      </c>
      <c r="D198" s="16" t="s">
        <v>1440</v>
      </c>
      <c r="E198" s="16" t="s">
        <v>32</v>
      </c>
      <c r="F198" s="23" t="s">
        <v>30</v>
      </c>
      <c r="G198" s="23" t="s">
        <v>30</v>
      </c>
      <c r="H198" s="23" t="s">
        <v>30</v>
      </c>
      <c r="I198" s="92" t="str">
        <f t="shared" si="3"/>
        <v>N/A</v>
      </c>
      <c r="J198" s="16" t="s">
        <v>715</v>
      </c>
      <c r="K198" s="25">
        <v>2020</v>
      </c>
      <c r="L198" s="20" t="s">
        <v>719</v>
      </c>
      <c r="M198" s="32">
        <v>1944</v>
      </c>
      <c r="N198" s="16" t="s">
        <v>536</v>
      </c>
      <c r="O198" s="18" t="s">
        <v>529</v>
      </c>
      <c r="P198" s="18" t="s">
        <v>37</v>
      </c>
      <c r="Q198" s="19" t="s">
        <v>489</v>
      </c>
    </row>
    <row r="199" spans="1:17" ht="30" customHeight="1">
      <c r="A199" s="15" t="s">
        <v>720</v>
      </c>
      <c r="B199" s="24" t="s">
        <v>30</v>
      </c>
      <c r="C199" s="18" t="s">
        <v>721</v>
      </c>
      <c r="D199" s="16" t="s">
        <v>1440</v>
      </c>
      <c r="E199" s="25" t="s">
        <v>20</v>
      </c>
      <c r="F199" s="91" t="s">
        <v>589</v>
      </c>
      <c r="G199" s="22" t="s">
        <v>22</v>
      </c>
      <c r="H199" s="22">
        <v>12</v>
      </c>
      <c r="I199" s="92">
        <f t="shared" si="3"/>
        <v>46025</v>
      </c>
      <c r="J199" s="16" t="s">
        <v>234</v>
      </c>
      <c r="K199" s="25">
        <v>2020</v>
      </c>
      <c r="L199" s="20" t="s">
        <v>722</v>
      </c>
      <c r="M199" s="32" t="s">
        <v>723</v>
      </c>
      <c r="N199" s="16" t="s">
        <v>36</v>
      </c>
      <c r="O199" s="18" t="s">
        <v>110</v>
      </c>
      <c r="P199" s="18" t="s">
        <v>27</v>
      </c>
      <c r="Q199" s="19" t="s">
        <v>28</v>
      </c>
    </row>
    <row r="200" spans="1:17" ht="30" customHeight="1">
      <c r="A200" s="15" t="s">
        <v>724</v>
      </c>
      <c r="B200" s="24" t="s">
        <v>30</v>
      </c>
      <c r="C200" s="18" t="s">
        <v>721</v>
      </c>
      <c r="D200" s="16" t="s">
        <v>1440</v>
      </c>
      <c r="E200" s="25" t="s">
        <v>20</v>
      </c>
      <c r="F200" s="91" t="s">
        <v>589</v>
      </c>
      <c r="G200" s="22" t="s">
        <v>22</v>
      </c>
      <c r="H200" s="22">
        <v>12</v>
      </c>
      <c r="I200" s="92">
        <f t="shared" si="3"/>
        <v>46025</v>
      </c>
      <c r="J200" s="16" t="s">
        <v>234</v>
      </c>
      <c r="K200" s="25">
        <v>2020</v>
      </c>
      <c r="L200" s="20" t="s">
        <v>722</v>
      </c>
      <c r="M200" s="32" t="s">
        <v>725</v>
      </c>
      <c r="N200" s="16" t="s">
        <v>36</v>
      </c>
      <c r="O200" s="18" t="s">
        <v>110</v>
      </c>
      <c r="P200" s="18" t="s">
        <v>27</v>
      </c>
      <c r="Q200" s="19" t="s">
        <v>28</v>
      </c>
    </row>
    <row r="201" spans="1:17" ht="30" customHeight="1">
      <c r="A201" s="15" t="s">
        <v>726</v>
      </c>
      <c r="B201" s="24" t="s">
        <v>30</v>
      </c>
      <c r="C201" s="18" t="s">
        <v>721</v>
      </c>
      <c r="D201" s="16" t="s">
        <v>1440</v>
      </c>
      <c r="E201" s="25" t="s">
        <v>20</v>
      </c>
      <c r="F201" s="91" t="s">
        <v>589</v>
      </c>
      <c r="G201" s="22" t="s">
        <v>22</v>
      </c>
      <c r="H201" s="22">
        <v>12</v>
      </c>
      <c r="I201" s="92">
        <f t="shared" si="3"/>
        <v>46025</v>
      </c>
      <c r="J201" s="16" t="s">
        <v>234</v>
      </c>
      <c r="K201" s="25">
        <v>2020</v>
      </c>
      <c r="L201" s="20" t="s">
        <v>722</v>
      </c>
      <c r="M201" s="32" t="s">
        <v>727</v>
      </c>
      <c r="N201" s="16" t="s">
        <v>36</v>
      </c>
      <c r="O201" s="18" t="s">
        <v>110</v>
      </c>
      <c r="P201" s="18" t="s">
        <v>27</v>
      </c>
      <c r="Q201" s="19" t="s">
        <v>28</v>
      </c>
    </row>
    <row r="202" spans="1:17" ht="30" customHeight="1">
      <c r="A202" s="15" t="s">
        <v>728</v>
      </c>
      <c r="B202" s="24" t="s">
        <v>30</v>
      </c>
      <c r="C202" s="18" t="s">
        <v>729</v>
      </c>
      <c r="D202" s="16" t="s">
        <v>1440</v>
      </c>
      <c r="E202" s="25" t="s">
        <v>20</v>
      </c>
      <c r="F202" s="91" t="s">
        <v>589</v>
      </c>
      <c r="G202" s="22" t="s">
        <v>22</v>
      </c>
      <c r="H202" s="22">
        <v>12</v>
      </c>
      <c r="I202" s="92">
        <f t="shared" si="3"/>
        <v>46025</v>
      </c>
      <c r="J202" s="16" t="s">
        <v>86</v>
      </c>
      <c r="K202" s="25">
        <v>2020</v>
      </c>
      <c r="L202" s="20" t="s">
        <v>730</v>
      </c>
      <c r="M202" s="32" t="s">
        <v>731</v>
      </c>
      <c r="N202" s="16" t="s">
        <v>36</v>
      </c>
      <c r="O202" s="18" t="s">
        <v>90</v>
      </c>
      <c r="P202" s="18" t="s">
        <v>27</v>
      </c>
      <c r="Q202" s="19" t="s">
        <v>28</v>
      </c>
    </row>
    <row r="203" spans="1:17" ht="30" customHeight="1">
      <c r="A203" s="15" t="s">
        <v>732</v>
      </c>
      <c r="B203" s="24" t="s">
        <v>30</v>
      </c>
      <c r="C203" s="18" t="s">
        <v>733</v>
      </c>
      <c r="D203" s="16" t="s">
        <v>1440</v>
      </c>
      <c r="E203" s="25" t="s">
        <v>20</v>
      </c>
      <c r="F203" s="91" t="s">
        <v>589</v>
      </c>
      <c r="G203" s="22" t="s">
        <v>22</v>
      </c>
      <c r="H203" s="22">
        <v>12</v>
      </c>
      <c r="I203" s="92">
        <f t="shared" si="3"/>
        <v>46025</v>
      </c>
      <c r="J203" s="16" t="s">
        <v>86</v>
      </c>
      <c r="K203" s="25">
        <v>2020</v>
      </c>
      <c r="L203" s="20" t="s">
        <v>730</v>
      </c>
      <c r="M203" s="32" t="s">
        <v>734</v>
      </c>
      <c r="N203" s="16" t="s">
        <v>36</v>
      </c>
      <c r="O203" s="18" t="s">
        <v>90</v>
      </c>
      <c r="P203" s="18" t="s">
        <v>27</v>
      </c>
      <c r="Q203" s="19" t="s">
        <v>28</v>
      </c>
    </row>
    <row r="204" spans="1:17" ht="30" customHeight="1">
      <c r="A204" s="15" t="s">
        <v>735</v>
      </c>
      <c r="B204" s="24" t="s">
        <v>30</v>
      </c>
      <c r="C204" s="18" t="s">
        <v>733</v>
      </c>
      <c r="D204" s="16" t="s">
        <v>1440</v>
      </c>
      <c r="E204" s="25" t="s">
        <v>20</v>
      </c>
      <c r="F204" s="91" t="s">
        <v>589</v>
      </c>
      <c r="G204" s="22" t="s">
        <v>22</v>
      </c>
      <c r="H204" s="22">
        <v>12</v>
      </c>
      <c r="I204" s="92">
        <f t="shared" si="3"/>
        <v>46025</v>
      </c>
      <c r="J204" s="16" t="s">
        <v>86</v>
      </c>
      <c r="K204" s="25">
        <v>2020</v>
      </c>
      <c r="L204" s="20" t="s">
        <v>730</v>
      </c>
      <c r="M204" s="32" t="s">
        <v>736</v>
      </c>
      <c r="N204" s="16" t="s">
        <v>36</v>
      </c>
      <c r="O204" s="18" t="s">
        <v>90</v>
      </c>
      <c r="P204" s="18" t="s">
        <v>27</v>
      </c>
      <c r="Q204" s="19" t="s">
        <v>28</v>
      </c>
    </row>
    <row r="205" spans="1:17" ht="30" customHeight="1">
      <c r="A205" s="15" t="s">
        <v>737</v>
      </c>
      <c r="B205" s="24" t="s">
        <v>30</v>
      </c>
      <c r="C205" s="18" t="s">
        <v>130</v>
      </c>
      <c r="D205" s="16" t="s">
        <v>1440</v>
      </c>
      <c r="E205" s="25" t="s">
        <v>20</v>
      </c>
      <c r="F205" s="91" t="s">
        <v>606</v>
      </c>
      <c r="G205" s="22" t="s">
        <v>22</v>
      </c>
      <c r="H205" s="22">
        <v>12</v>
      </c>
      <c r="I205" s="92">
        <f t="shared" si="3"/>
        <v>46028</v>
      </c>
      <c r="J205" s="16" t="s">
        <v>131</v>
      </c>
      <c r="K205" s="25">
        <v>2020</v>
      </c>
      <c r="L205" s="20" t="s">
        <v>132</v>
      </c>
      <c r="M205" s="32" t="s">
        <v>738</v>
      </c>
      <c r="N205" s="16" t="s">
        <v>134</v>
      </c>
      <c r="O205" s="18" t="s">
        <v>529</v>
      </c>
      <c r="P205" s="18" t="s">
        <v>27</v>
      </c>
      <c r="Q205" s="19" t="s">
        <v>28</v>
      </c>
    </row>
    <row r="206" spans="1:17" ht="30" customHeight="1">
      <c r="A206" s="15" t="s">
        <v>739</v>
      </c>
      <c r="B206" s="24" t="s">
        <v>740</v>
      </c>
      <c r="C206" s="18" t="s">
        <v>733</v>
      </c>
      <c r="D206" s="16" t="s">
        <v>1440</v>
      </c>
      <c r="E206" s="25" t="s">
        <v>20</v>
      </c>
      <c r="F206" s="91" t="s">
        <v>589</v>
      </c>
      <c r="G206" s="22" t="s">
        <v>22</v>
      </c>
      <c r="H206" s="22">
        <v>12</v>
      </c>
      <c r="I206" s="92">
        <f t="shared" si="3"/>
        <v>46025</v>
      </c>
      <c r="J206" s="16" t="s">
        <v>741</v>
      </c>
      <c r="K206" s="25">
        <v>2020</v>
      </c>
      <c r="L206" s="20" t="s">
        <v>742</v>
      </c>
      <c r="M206" s="32">
        <v>11</v>
      </c>
      <c r="N206" s="16" t="s">
        <v>36</v>
      </c>
      <c r="O206" s="18" t="s">
        <v>90</v>
      </c>
      <c r="P206" s="18" t="s">
        <v>27</v>
      </c>
      <c r="Q206" s="19" t="s">
        <v>28</v>
      </c>
    </row>
    <row r="207" spans="1:17" ht="30" customHeight="1">
      <c r="A207" s="15" t="s">
        <v>743</v>
      </c>
      <c r="B207" s="24" t="s">
        <v>744</v>
      </c>
      <c r="C207" s="18" t="s">
        <v>733</v>
      </c>
      <c r="D207" s="16" t="s">
        <v>1440</v>
      </c>
      <c r="E207" s="25" t="s">
        <v>20</v>
      </c>
      <c r="F207" s="91" t="s">
        <v>589</v>
      </c>
      <c r="G207" s="22" t="s">
        <v>22</v>
      </c>
      <c r="H207" s="22">
        <v>12</v>
      </c>
      <c r="I207" s="92">
        <f t="shared" si="3"/>
        <v>46025</v>
      </c>
      <c r="J207" s="16" t="s">
        <v>741</v>
      </c>
      <c r="K207" s="25">
        <v>2020</v>
      </c>
      <c r="L207" s="20" t="s">
        <v>745</v>
      </c>
      <c r="M207" s="32">
        <v>2</v>
      </c>
      <c r="N207" s="16" t="s">
        <v>36</v>
      </c>
      <c r="O207" s="18" t="s">
        <v>90</v>
      </c>
      <c r="P207" s="18" t="s">
        <v>27</v>
      </c>
      <c r="Q207" s="19" t="s">
        <v>28</v>
      </c>
    </row>
    <row r="208" spans="1:17" ht="30" customHeight="1">
      <c r="A208" s="15" t="s">
        <v>746</v>
      </c>
      <c r="B208" s="24" t="s">
        <v>747</v>
      </c>
      <c r="C208" s="18" t="s">
        <v>748</v>
      </c>
      <c r="D208" s="16" t="s">
        <v>1440</v>
      </c>
      <c r="E208" s="25" t="s">
        <v>20</v>
      </c>
      <c r="F208" s="91" t="s">
        <v>589</v>
      </c>
      <c r="G208" s="22" t="s">
        <v>22</v>
      </c>
      <c r="H208" s="22">
        <v>12</v>
      </c>
      <c r="I208" s="92">
        <f t="shared" si="3"/>
        <v>46025</v>
      </c>
      <c r="J208" s="16" t="s">
        <v>741</v>
      </c>
      <c r="K208" s="25">
        <v>2020</v>
      </c>
      <c r="L208" s="20" t="s">
        <v>749</v>
      </c>
      <c r="M208" s="32">
        <v>1</v>
      </c>
      <c r="N208" s="16" t="s">
        <v>36</v>
      </c>
      <c r="O208" s="18" t="s">
        <v>90</v>
      </c>
      <c r="P208" s="18" t="s">
        <v>27</v>
      </c>
      <c r="Q208" s="19" t="s">
        <v>28</v>
      </c>
    </row>
    <row r="209" spans="1:17" ht="30" customHeight="1">
      <c r="A209" s="15" t="s">
        <v>750</v>
      </c>
      <c r="B209" s="24" t="s">
        <v>751</v>
      </c>
      <c r="C209" s="18" t="s">
        <v>748</v>
      </c>
      <c r="D209" s="16" t="s">
        <v>1440</v>
      </c>
      <c r="E209" s="25" t="s">
        <v>20</v>
      </c>
      <c r="F209" s="91" t="s">
        <v>589</v>
      </c>
      <c r="G209" s="22" t="s">
        <v>22</v>
      </c>
      <c r="H209" s="22">
        <v>12</v>
      </c>
      <c r="I209" s="92">
        <f t="shared" si="3"/>
        <v>46025</v>
      </c>
      <c r="J209" s="16" t="s">
        <v>741</v>
      </c>
      <c r="K209" s="25">
        <v>2020</v>
      </c>
      <c r="L209" s="20" t="s">
        <v>752</v>
      </c>
      <c r="M209" s="32">
        <v>1</v>
      </c>
      <c r="N209" s="16" t="s">
        <v>36</v>
      </c>
      <c r="O209" s="18" t="s">
        <v>90</v>
      </c>
      <c r="P209" s="18" t="s">
        <v>27</v>
      </c>
      <c r="Q209" s="19" t="s">
        <v>28</v>
      </c>
    </row>
    <row r="210" spans="1:17" ht="30" customHeight="1">
      <c r="A210" s="15" t="s">
        <v>753</v>
      </c>
      <c r="B210" s="24" t="s">
        <v>30</v>
      </c>
      <c r="C210" s="18" t="s">
        <v>208</v>
      </c>
      <c r="D210" s="16" t="s">
        <v>1440</v>
      </c>
      <c r="E210" s="25" t="s">
        <v>20</v>
      </c>
      <c r="F210" s="91" t="s">
        <v>21</v>
      </c>
      <c r="G210" s="28" t="s">
        <v>22</v>
      </c>
      <c r="H210" s="28">
        <v>12</v>
      </c>
      <c r="I210" s="92">
        <f t="shared" si="3"/>
        <v>45861</v>
      </c>
      <c r="J210" s="16" t="s">
        <v>209</v>
      </c>
      <c r="K210" s="25">
        <v>2020</v>
      </c>
      <c r="L210" s="20" t="s">
        <v>210</v>
      </c>
      <c r="M210" s="32" t="s">
        <v>754</v>
      </c>
      <c r="N210" s="16" t="s">
        <v>755</v>
      </c>
      <c r="O210" s="18" t="s">
        <v>110</v>
      </c>
      <c r="P210" s="18" t="s">
        <v>27</v>
      </c>
      <c r="Q210" s="19" t="s">
        <v>28</v>
      </c>
    </row>
    <row r="211" spans="1:17" ht="30" customHeight="1">
      <c r="A211" s="15" t="s">
        <v>756</v>
      </c>
      <c r="B211" s="24" t="s">
        <v>757</v>
      </c>
      <c r="C211" s="18" t="s">
        <v>208</v>
      </c>
      <c r="D211" s="16" t="s">
        <v>1440</v>
      </c>
      <c r="E211" s="25" t="s">
        <v>20</v>
      </c>
      <c r="F211" s="91" t="s">
        <v>21</v>
      </c>
      <c r="G211" s="22" t="s">
        <v>22</v>
      </c>
      <c r="H211" s="22">
        <v>12</v>
      </c>
      <c r="I211" s="92">
        <f t="shared" si="3"/>
        <v>45861</v>
      </c>
      <c r="J211" s="16" t="s">
        <v>23</v>
      </c>
      <c r="K211" s="25">
        <v>2020</v>
      </c>
      <c r="L211" s="20" t="s">
        <v>758</v>
      </c>
      <c r="M211" s="32">
        <v>101284</v>
      </c>
      <c r="N211" s="16" t="s">
        <v>759</v>
      </c>
      <c r="O211" s="18" t="s">
        <v>529</v>
      </c>
      <c r="P211" s="18" t="s">
        <v>27</v>
      </c>
      <c r="Q211" s="19" t="s">
        <v>28</v>
      </c>
    </row>
    <row r="212" spans="1:17" ht="30" customHeight="1">
      <c r="A212" s="15" t="s">
        <v>760</v>
      </c>
      <c r="B212" s="24" t="s">
        <v>30</v>
      </c>
      <c r="C212" s="18" t="s">
        <v>226</v>
      </c>
      <c r="D212" s="16" t="s">
        <v>1440</v>
      </c>
      <c r="E212" s="25" t="s">
        <v>20</v>
      </c>
      <c r="F212" s="91" t="s">
        <v>105</v>
      </c>
      <c r="G212" s="22" t="s">
        <v>22</v>
      </c>
      <c r="H212" s="22">
        <v>24</v>
      </c>
      <c r="I212" s="92">
        <f t="shared" si="3"/>
        <v>46227</v>
      </c>
      <c r="J212" s="16" t="s">
        <v>227</v>
      </c>
      <c r="K212" s="25">
        <v>2020</v>
      </c>
      <c r="L212" s="20">
        <v>110067006</v>
      </c>
      <c r="M212" s="32" t="s">
        <v>761</v>
      </c>
      <c r="N212" s="16" t="s">
        <v>762</v>
      </c>
      <c r="O212" s="18" t="s">
        <v>529</v>
      </c>
      <c r="P212" s="18" t="s">
        <v>27</v>
      </c>
      <c r="Q212" s="19" t="s">
        <v>28</v>
      </c>
    </row>
    <row r="213" spans="1:17" ht="30" customHeight="1">
      <c r="A213" s="15" t="s">
        <v>763</v>
      </c>
      <c r="B213" s="24" t="s">
        <v>30</v>
      </c>
      <c r="C213" s="18" t="s">
        <v>304</v>
      </c>
      <c r="D213" s="16" t="s">
        <v>1440</v>
      </c>
      <c r="E213" s="25" t="s">
        <v>20</v>
      </c>
      <c r="F213" s="91">
        <v>44944</v>
      </c>
      <c r="G213" s="22" t="s">
        <v>22</v>
      </c>
      <c r="H213" s="22">
        <v>24</v>
      </c>
      <c r="I213" s="92">
        <f t="shared" si="3"/>
        <v>45675</v>
      </c>
      <c r="J213" s="16" t="s">
        <v>56</v>
      </c>
      <c r="K213" s="25">
        <v>2021</v>
      </c>
      <c r="L213" s="20" t="s">
        <v>61</v>
      </c>
      <c r="M213" s="32" t="s">
        <v>764</v>
      </c>
      <c r="N213" s="16" t="s">
        <v>492</v>
      </c>
      <c r="O213" s="18" t="s">
        <v>765</v>
      </c>
      <c r="P213" s="18" t="s">
        <v>27</v>
      </c>
      <c r="Q213" s="19" t="s">
        <v>28</v>
      </c>
    </row>
    <row r="214" spans="1:17" ht="30" customHeight="1">
      <c r="A214" s="15" t="s">
        <v>766</v>
      </c>
      <c r="B214" s="24" t="s">
        <v>30</v>
      </c>
      <c r="C214" s="18" t="s">
        <v>767</v>
      </c>
      <c r="D214" s="16" t="s">
        <v>1440</v>
      </c>
      <c r="E214" s="16" t="s">
        <v>32</v>
      </c>
      <c r="F214" s="91" t="s">
        <v>30</v>
      </c>
      <c r="G214" s="91" t="s">
        <v>30</v>
      </c>
      <c r="H214" s="91" t="s">
        <v>30</v>
      </c>
      <c r="I214" s="92" t="str">
        <f t="shared" si="3"/>
        <v>N/A</v>
      </c>
      <c r="J214" s="16" t="s">
        <v>768</v>
      </c>
      <c r="K214" s="25">
        <v>2020</v>
      </c>
      <c r="L214" s="20" t="s">
        <v>769</v>
      </c>
      <c r="M214" s="32" t="s">
        <v>770</v>
      </c>
      <c r="N214" s="16" t="s">
        <v>771</v>
      </c>
      <c r="O214" s="18" t="s">
        <v>529</v>
      </c>
      <c r="P214" s="18" t="s">
        <v>37</v>
      </c>
      <c r="Q214" s="19" t="s">
        <v>28</v>
      </c>
    </row>
    <row r="215" spans="1:17" ht="30" customHeight="1">
      <c r="A215" s="15" t="s">
        <v>772</v>
      </c>
      <c r="B215" s="24" t="s">
        <v>30</v>
      </c>
      <c r="C215" s="18" t="s">
        <v>221</v>
      </c>
      <c r="D215" s="16" t="s">
        <v>1440</v>
      </c>
      <c r="E215" s="25" t="s">
        <v>20</v>
      </c>
      <c r="F215" s="91" t="s">
        <v>383</v>
      </c>
      <c r="G215" s="22" t="s">
        <v>22</v>
      </c>
      <c r="H215" s="22">
        <v>12</v>
      </c>
      <c r="I215" s="92">
        <f t="shared" si="3"/>
        <v>46024</v>
      </c>
      <c r="J215" s="16" t="s">
        <v>525</v>
      </c>
      <c r="K215" s="25">
        <v>2021</v>
      </c>
      <c r="L215" s="20" t="s">
        <v>773</v>
      </c>
      <c r="M215" s="32" t="s">
        <v>774</v>
      </c>
      <c r="N215" s="16" t="s">
        <v>775</v>
      </c>
      <c r="O215" s="18" t="s">
        <v>110</v>
      </c>
      <c r="P215" s="18" t="s">
        <v>27</v>
      </c>
      <c r="Q215" s="19" t="s">
        <v>28</v>
      </c>
    </row>
    <row r="216" spans="1:17" ht="30" customHeight="1">
      <c r="A216" s="15" t="s">
        <v>1436</v>
      </c>
      <c r="B216" s="24" t="s">
        <v>30</v>
      </c>
      <c r="C216" s="18" t="s">
        <v>1434</v>
      </c>
      <c r="D216" s="16" t="s">
        <v>1440</v>
      </c>
      <c r="E216" s="25" t="s">
        <v>20</v>
      </c>
      <c r="F216" s="91">
        <v>45650</v>
      </c>
      <c r="G216" s="22" t="s">
        <v>22</v>
      </c>
      <c r="H216" s="22">
        <v>12</v>
      </c>
      <c r="I216" s="92">
        <f t="shared" si="3"/>
        <v>46015</v>
      </c>
      <c r="J216" s="16" t="s">
        <v>525</v>
      </c>
      <c r="K216" s="25">
        <v>2021</v>
      </c>
      <c r="L216" s="20" t="s">
        <v>1435</v>
      </c>
      <c r="M216" s="32" t="s">
        <v>776</v>
      </c>
      <c r="N216" s="16" t="s">
        <v>528</v>
      </c>
      <c r="O216" s="18" t="s">
        <v>765</v>
      </c>
      <c r="P216" s="18" t="s">
        <v>27</v>
      </c>
      <c r="Q216" s="19" t="s">
        <v>28</v>
      </c>
    </row>
    <row r="217" spans="1:17" ht="30" customHeight="1">
      <c r="A217" s="15" t="s">
        <v>777</v>
      </c>
      <c r="B217" s="24" t="s">
        <v>778</v>
      </c>
      <c r="C217" s="18" t="s">
        <v>532</v>
      </c>
      <c r="D217" s="16" t="s">
        <v>1440</v>
      </c>
      <c r="E217" s="25" t="s">
        <v>20</v>
      </c>
      <c r="F217" s="91">
        <v>45674</v>
      </c>
      <c r="G217" s="22" t="s">
        <v>22</v>
      </c>
      <c r="H217" s="22">
        <v>12</v>
      </c>
      <c r="I217" s="92">
        <f t="shared" si="3"/>
        <v>46039</v>
      </c>
      <c r="J217" s="16" t="s">
        <v>533</v>
      </c>
      <c r="K217" s="25">
        <v>2021</v>
      </c>
      <c r="L217" s="20" t="s">
        <v>534</v>
      </c>
      <c r="M217" s="32" t="s">
        <v>779</v>
      </c>
      <c r="N217" s="16" t="s">
        <v>536</v>
      </c>
      <c r="O217" s="18" t="s">
        <v>765</v>
      </c>
      <c r="P217" s="18" t="s">
        <v>27</v>
      </c>
      <c r="Q217" s="19" t="s">
        <v>28</v>
      </c>
    </row>
    <row r="218" spans="1:17" ht="30" customHeight="1">
      <c r="A218" s="15" t="s">
        <v>780</v>
      </c>
      <c r="B218" s="24" t="s">
        <v>30</v>
      </c>
      <c r="C218" s="18" t="s">
        <v>532</v>
      </c>
      <c r="D218" s="16" t="s">
        <v>1440</v>
      </c>
      <c r="E218" s="25" t="s">
        <v>20</v>
      </c>
      <c r="F218" s="91">
        <v>45674</v>
      </c>
      <c r="G218" s="22" t="s">
        <v>22</v>
      </c>
      <c r="H218" s="22">
        <v>12</v>
      </c>
      <c r="I218" s="92">
        <f t="shared" si="3"/>
        <v>46039</v>
      </c>
      <c r="J218" s="16" t="s">
        <v>533</v>
      </c>
      <c r="K218" s="25">
        <v>2021</v>
      </c>
      <c r="L218" s="20" t="s">
        <v>539</v>
      </c>
      <c r="M218" s="32" t="s">
        <v>781</v>
      </c>
      <c r="N218" s="16" t="s">
        <v>541</v>
      </c>
      <c r="O218" s="18" t="s">
        <v>765</v>
      </c>
      <c r="P218" s="18" t="s">
        <v>27</v>
      </c>
      <c r="Q218" s="19" t="s">
        <v>28</v>
      </c>
    </row>
    <row r="219" spans="1:17" ht="30" customHeight="1">
      <c r="A219" s="15" t="s">
        <v>782</v>
      </c>
      <c r="B219" s="24" t="s">
        <v>778</v>
      </c>
      <c r="C219" s="18" t="s">
        <v>532</v>
      </c>
      <c r="D219" s="16" t="s">
        <v>1440</v>
      </c>
      <c r="E219" s="25" t="s">
        <v>20</v>
      </c>
      <c r="F219" s="91">
        <v>45674</v>
      </c>
      <c r="G219" s="22" t="s">
        <v>22</v>
      </c>
      <c r="H219" s="22">
        <v>12</v>
      </c>
      <c r="I219" s="92">
        <f t="shared" si="3"/>
        <v>46039</v>
      </c>
      <c r="J219" s="16" t="s">
        <v>533</v>
      </c>
      <c r="K219" s="25">
        <v>2021</v>
      </c>
      <c r="L219" s="20" t="s">
        <v>544</v>
      </c>
      <c r="M219" s="32" t="s">
        <v>783</v>
      </c>
      <c r="N219" s="16" t="s">
        <v>546</v>
      </c>
      <c r="O219" s="18" t="s">
        <v>765</v>
      </c>
      <c r="P219" s="18" t="s">
        <v>27</v>
      </c>
      <c r="Q219" s="19" t="s">
        <v>28</v>
      </c>
    </row>
    <row r="220" spans="1:17" ht="30" customHeight="1">
      <c r="A220" s="15" t="s">
        <v>784</v>
      </c>
      <c r="B220" s="24" t="s">
        <v>785</v>
      </c>
      <c r="C220" s="18" t="s">
        <v>532</v>
      </c>
      <c r="D220" s="16" t="s">
        <v>1440</v>
      </c>
      <c r="E220" s="25" t="s">
        <v>20</v>
      </c>
      <c r="F220" s="91">
        <v>45674</v>
      </c>
      <c r="G220" s="22" t="s">
        <v>22</v>
      </c>
      <c r="H220" s="22">
        <v>12</v>
      </c>
      <c r="I220" s="92">
        <f t="shared" si="3"/>
        <v>46039</v>
      </c>
      <c r="J220" s="16" t="s">
        <v>533</v>
      </c>
      <c r="K220" s="25">
        <v>2021</v>
      </c>
      <c r="L220" s="20" t="s">
        <v>549</v>
      </c>
      <c r="M220" s="32" t="s">
        <v>786</v>
      </c>
      <c r="N220" s="16" t="s">
        <v>551</v>
      </c>
      <c r="O220" s="18" t="s">
        <v>765</v>
      </c>
      <c r="P220" s="18" t="s">
        <v>27</v>
      </c>
      <c r="Q220" s="19" t="s">
        <v>28</v>
      </c>
    </row>
    <row r="221" spans="1:17" ht="30" customHeight="1">
      <c r="A221" s="15" t="s">
        <v>787</v>
      </c>
      <c r="B221" s="24" t="s">
        <v>30</v>
      </c>
      <c r="C221" s="18" t="s">
        <v>532</v>
      </c>
      <c r="D221" s="16" t="s">
        <v>1440</v>
      </c>
      <c r="E221" s="25" t="s">
        <v>20</v>
      </c>
      <c r="F221" s="91">
        <v>45674</v>
      </c>
      <c r="G221" s="22" t="s">
        <v>22</v>
      </c>
      <c r="H221" s="22">
        <v>12</v>
      </c>
      <c r="I221" s="92">
        <f t="shared" si="3"/>
        <v>46039</v>
      </c>
      <c r="J221" s="16" t="s">
        <v>533</v>
      </c>
      <c r="K221" s="25">
        <v>2021</v>
      </c>
      <c r="L221" s="20" t="s">
        <v>554</v>
      </c>
      <c r="M221" s="32" t="s">
        <v>788</v>
      </c>
      <c r="N221" s="16" t="s">
        <v>556</v>
      </c>
      <c r="O221" s="18" t="s">
        <v>765</v>
      </c>
      <c r="P221" s="18" t="s">
        <v>27</v>
      </c>
      <c r="Q221" s="19" t="s">
        <v>28</v>
      </c>
    </row>
    <row r="222" spans="1:17" ht="30" customHeight="1">
      <c r="A222" s="15" t="s">
        <v>789</v>
      </c>
      <c r="B222" s="24" t="s">
        <v>30</v>
      </c>
      <c r="C222" s="18" t="s">
        <v>221</v>
      </c>
      <c r="D222" s="16" t="s">
        <v>1440</v>
      </c>
      <c r="E222" s="25" t="s">
        <v>20</v>
      </c>
      <c r="F222" s="91">
        <v>45650</v>
      </c>
      <c r="G222" s="22" t="s">
        <v>22</v>
      </c>
      <c r="H222" s="22">
        <v>12</v>
      </c>
      <c r="I222" s="92">
        <f t="shared" si="3"/>
        <v>46015</v>
      </c>
      <c r="J222" s="16" t="s">
        <v>23</v>
      </c>
      <c r="K222" s="25">
        <v>2021</v>
      </c>
      <c r="L222" s="20" t="s">
        <v>790</v>
      </c>
      <c r="M222" s="32" t="s">
        <v>791</v>
      </c>
      <c r="N222" s="16" t="s">
        <v>792</v>
      </c>
      <c r="O222" s="18" t="s">
        <v>110</v>
      </c>
      <c r="P222" s="18" t="s">
        <v>27</v>
      </c>
      <c r="Q222" s="19" t="s">
        <v>28</v>
      </c>
    </row>
    <row r="223" spans="1:17" ht="30" customHeight="1">
      <c r="A223" s="15" t="s">
        <v>793</v>
      </c>
      <c r="B223" s="24" t="s">
        <v>794</v>
      </c>
      <c r="C223" s="18" t="s">
        <v>795</v>
      </c>
      <c r="D223" s="16" t="s">
        <v>1440</v>
      </c>
      <c r="E223" s="25" t="s">
        <v>20</v>
      </c>
      <c r="F223" s="91" t="s">
        <v>383</v>
      </c>
      <c r="G223" s="22" t="s">
        <v>22</v>
      </c>
      <c r="H223" s="22">
        <v>12</v>
      </c>
      <c r="I223" s="92">
        <f t="shared" si="3"/>
        <v>46024</v>
      </c>
      <c r="J223" s="16" t="s">
        <v>23</v>
      </c>
      <c r="K223" s="25">
        <v>2021</v>
      </c>
      <c r="L223" s="20" t="s">
        <v>796</v>
      </c>
      <c r="M223" s="32">
        <v>169794</v>
      </c>
      <c r="N223" s="16" t="s">
        <v>797</v>
      </c>
      <c r="O223" s="18" t="s">
        <v>110</v>
      </c>
      <c r="P223" s="18" t="s">
        <v>27</v>
      </c>
      <c r="Q223" s="19" t="s">
        <v>28</v>
      </c>
    </row>
    <row r="224" spans="1:17" ht="30" customHeight="1">
      <c r="A224" s="15" t="s">
        <v>798</v>
      </c>
      <c r="B224" s="24" t="s">
        <v>794</v>
      </c>
      <c r="C224" s="18" t="s">
        <v>795</v>
      </c>
      <c r="D224" s="16" t="s">
        <v>1440</v>
      </c>
      <c r="E224" s="25" t="s">
        <v>20</v>
      </c>
      <c r="F224" s="91" t="s">
        <v>383</v>
      </c>
      <c r="G224" s="22" t="s">
        <v>22</v>
      </c>
      <c r="H224" s="22">
        <v>12</v>
      </c>
      <c r="I224" s="92">
        <f t="shared" si="3"/>
        <v>46024</v>
      </c>
      <c r="J224" s="16" t="s">
        <v>23</v>
      </c>
      <c r="K224" s="25">
        <v>2021</v>
      </c>
      <c r="L224" s="20" t="s">
        <v>796</v>
      </c>
      <c r="M224" s="32">
        <v>169795</v>
      </c>
      <c r="N224" s="16" t="s">
        <v>797</v>
      </c>
      <c r="O224" s="18" t="s">
        <v>90</v>
      </c>
      <c r="P224" s="18" t="s">
        <v>27</v>
      </c>
      <c r="Q224" s="19" t="s">
        <v>28</v>
      </c>
    </row>
    <row r="225" spans="1:17" ht="30" customHeight="1">
      <c r="A225" s="15" t="s">
        <v>799</v>
      </c>
      <c r="B225" s="24" t="s">
        <v>794</v>
      </c>
      <c r="C225" s="18" t="s">
        <v>795</v>
      </c>
      <c r="D225" s="16" t="s">
        <v>1440</v>
      </c>
      <c r="E225" s="25" t="s">
        <v>20</v>
      </c>
      <c r="F225" s="91" t="s">
        <v>383</v>
      </c>
      <c r="G225" s="22" t="s">
        <v>22</v>
      </c>
      <c r="H225" s="22">
        <v>12</v>
      </c>
      <c r="I225" s="92">
        <f t="shared" si="3"/>
        <v>46024</v>
      </c>
      <c r="J225" s="16" t="s">
        <v>23</v>
      </c>
      <c r="K225" s="25">
        <v>2021</v>
      </c>
      <c r="L225" s="20" t="s">
        <v>796</v>
      </c>
      <c r="M225" s="32" t="s">
        <v>1438</v>
      </c>
      <c r="N225" s="16" t="s">
        <v>800</v>
      </c>
      <c r="O225" s="18" t="s">
        <v>26</v>
      </c>
      <c r="P225" s="18" t="s">
        <v>27</v>
      </c>
      <c r="Q225" s="19" t="s">
        <v>28</v>
      </c>
    </row>
    <row r="226" spans="1:17" ht="30" customHeight="1">
      <c r="A226" s="15" t="s">
        <v>801</v>
      </c>
      <c r="B226" s="24" t="s">
        <v>30</v>
      </c>
      <c r="C226" s="18" t="s">
        <v>802</v>
      </c>
      <c r="D226" s="16" t="s">
        <v>1440</v>
      </c>
      <c r="E226" s="25" t="s">
        <v>146</v>
      </c>
      <c r="F226" s="23" t="s">
        <v>30</v>
      </c>
      <c r="G226" s="23" t="s">
        <v>30</v>
      </c>
      <c r="H226" s="23" t="s">
        <v>30</v>
      </c>
      <c r="I226" s="92" t="str">
        <f t="shared" si="3"/>
        <v>N/A</v>
      </c>
      <c r="J226" s="16" t="s">
        <v>23</v>
      </c>
      <c r="K226" s="25">
        <v>2021</v>
      </c>
      <c r="L226" s="20" t="s">
        <v>803</v>
      </c>
      <c r="M226" s="32" t="s">
        <v>804</v>
      </c>
      <c r="N226" s="16" t="s">
        <v>36</v>
      </c>
      <c r="O226" s="18" t="s">
        <v>253</v>
      </c>
      <c r="P226" s="18" t="s">
        <v>37</v>
      </c>
      <c r="Q226" s="18" t="s">
        <v>28</v>
      </c>
    </row>
    <row r="227" spans="1:17" ht="30" customHeight="1">
      <c r="A227" s="15" t="s">
        <v>805</v>
      </c>
      <c r="B227" s="24" t="s">
        <v>30</v>
      </c>
      <c r="C227" s="18" t="s">
        <v>806</v>
      </c>
      <c r="D227" s="16" t="s">
        <v>1440</v>
      </c>
      <c r="E227" s="25" t="s">
        <v>146</v>
      </c>
      <c r="F227" s="23" t="s">
        <v>30</v>
      </c>
      <c r="G227" s="23" t="s">
        <v>30</v>
      </c>
      <c r="H227" s="23" t="s">
        <v>30</v>
      </c>
      <c r="I227" s="92" t="str">
        <f t="shared" si="3"/>
        <v>N/A</v>
      </c>
      <c r="J227" s="16" t="s">
        <v>807</v>
      </c>
      <c r="K227" s="25">
        <v>2021</v>
      </c>
      <c r="L227" s="20" t="s">
        <v>808</v>
      </c>
      <c r="M227" s="32" t="s">
        <v>809</v>
      </c>
      <c r="N227" s="16" t="s">
        <v>36</v>
      </c>
      <c r="O227" s="18" t="s">
        <v>253</v>
      </c>
      <c r="P227" s="18" t="s">
        <v>37</v>
      </c>
      <c r="Q227" s="18" t="s">
        <v>28</v>
      </c>
    </row>
    <row r="228" spans="1:17" ht="30" customHeight="1">
      <c r="A228" s="15" t="s">
        <v>810</v>
      </c>
      <c r="B228" s="24" t="s">
        <v>30</v>
      </c>
      <c r="C228" s="18" t="s">
        <v>145</v>
      </c>
      <c r="D228" s="16" t="s">
        <v>1440</v>
      </c>
      <c r="E228" s="25" t="s">
        <v>146</v>
      </c>
      <c r="F228" s="23" t="s">
        <v>30</v>
      </c>
      <c r="G228" s="23" t="s">
        <v>30</v>
      </c>
      <c r="H228" s="23" t="s">
        <v>30</v>
      </c>
      <c r="I228" s="92" t="str">
        <f t="shared" si="3"/>
        <v>N/A</v>
      </c>
      <c r="J228" s="16" t="s">
        <v>202</v>
      </c>
      <c r="K228" s="25">
        <v>2021</v>
      </c>
      <c r="L228" s="20" t="s">
        <v>203</v>
      </c>
      <c r="M228" s="32" t="s">
        <v>811</v>
      </c>
      <c r="N228" s="16" t="s">
        <v>36</v>
      </c>
      <c r="O228" s="18" t="s">
        <v>154</v>
      </c>
      <c r="P228" s="18" t="s">
        <v>37</v>
      </c>
      <c r="Q228" s="18" t="s">
        <v>28</v>
      </c>
    </row>
    <row r="229" spans="1:17" ht="30" customHeight="1">
      <c r="A229" s="15" t="s">
        <v>812</v>
      </c>
      <c r="B229" s="24" t="s">
        <v>30</v>
      </c>
      <c r="C229" s="18" t="s">
        <v>145</v>
      </c>
      <c r="D229" s="16" t="s">
        <v>1440</v>
      </c>
      <c r="E229" s="25" t="s">
        <v>146</v>
      </c>
      <c r="F229" s="23" t="s">
        <v>30</v>
      </c>
      <c r="G229" s="23" t="s">
        <v>30</v>
      </c>
      <c r="H229" s="23" t="s">
        <v>30</v>
      </c>
      <c r="I229" s="92" t="str">
        <f t="shared" si="3"/>
        <v>N/A</v>
      </c>
      <c r="J229" s="16" t="s">
        <v>202</v>
      </c>
      <c r="K229" s="25">
        <v>2021</v>
      </c>
      <c r="L229" s="20" t="s">
        <v>813</v>
      </c>
      <c r="M229" s="32" t="s">
        <v>814</v>
      </c>
      <c r="N229" s="16" t="s">
        <v>36</v>
      </c>
      <c r="O229" s="18" t="s">
        <v>26</v>
      </c>
      <c r="P229" s="18" t="s">
        <v>37</v>
      </c>
      <c r="Q229" s="18" t="s">
        <v>28</v>
      </c>
    </row>
    <row r="230" spans="1:17" ht="30" customHeight="1">
      <c r="A230" s="15" t="s">
        <v>815</v>
      </c>
      <c r="B230" s="24" t="s">
        <v>30</v>
      </c>
      <c r="C230" s="18" t="s">
        <v>145</v>
      </c>
      <c r="D230" s="16" t="s">
        <v>1440</v>
      </c>
      <c r="E230" s="25" t="s">
        <v>146</v>
      </c>
      <c r="F230" s="23" t="s">
        <v>30</v>
      </c>
      <c r="G230" s="23" t="s">
        <v>30</v>
      </c>
      <c r="H230" s="23" t="s">
        <v>30</v>
      </c>
      <c r="I230" s="92" t="str">
        <f t="shared" si="3"/>
        <v>N/A</v>
      </c>
      <c r="J230" s="16" t="s">
        <v>202</v>
      </c>
      <c r="K230" s="25">
        <v>2021</v>
      </c>
      <c r="L230" s="20" t="s">
        <v>813</v>
      </c>
      <c r="M230" s="32" t="s">
        <v>816</v>
      </c>
      <c r="N230" s="16" t="s">
        <v>36</v>
      </c>
      <c r="O230" s="18" t="s">
        <v>529</v>
      </c>
      <c r="P230" s="18" t="s">
        <v>37</v>
      </c>
      <c r="Q230" s="18" t="s">
        <v>28</v>
      </c>
    </row>
    <row r="231" spans="1:17" ht="30" customHeight="1">
      <c r="A231" s="15" t="s">
        <v>817</v>
      </c>
      <c r="B231" s="24" t="s">
        <v>30</v>
      </c>
      <c r="C231" s="18" t="s">
        <v>818</v>
      </c>
      <c r="D231" s="16" t="s">
        <v>1440</v>
      </c>
      <c r="E231" s="16" t="s">
        <v>32</v>
      </c>
      <c r="F231" s="23" t="s">
        <v>30</v>
      </c>
      <c r="G231" s="23" t="s">
        <v>30</v>
      </c>
      <c r="H231" s="23" t="s">
        <v>30</v>
      </c>
      <c r="I231" s="92" t="str">
        <f t="shared" si="3"/>
        <v>N/A</v>
      </c>
      <c r="J231" s="16" t="s">
        <v>140</v>
      </c>
      <c r="K231" s="25">
        <v>2017</v>
      </c>
      <c r="L231" s="20" t="s">
        <v>73</v>
      </c>
      <c r="M231" s="32" t="s">
        <v>36</v>
      </c>
      <c r="N231" s="16" t="s">
        <v>36</v>
      </c>
      <c r="O231" s="18" t="s">
        <v>154</v>
      </c>
      <c r="P231" s="18" t="s">
        <v>37</v>
      </c>
      <c r="Q231" s="18" t="s">
        <v>28</v>
      </c>
    </row>
    <row r="232" spans="1:17" ht="30" customHeight="1">
      <c r="A232" s="15" t="s">
        <v>819</v>
      </c>
      <c r="B232" s="24" t="s">
        <v>820</v>
      </c>
      <c r="C232" s="18" t="s">
        <v>821</v>
      </c>
      <c r="D232" s="16" t="s">
        <v>1440</v>
      </c>
      <c r="E232" s="16" t="s">
        <v>32</v>
      </c>
      <c r="F232" s="23" t="s">
        <v>30</v>
      </c>
      <c r="G232" s="23" t="s">
        <v>30</v>
      </c>
      <c r="H232" s="23" t="s">
        <v>30</v>
      </c>
      <c r="I232" s="92" t="str">
        <f t="shared" si="3"/>
        <v>N/A</v>
      </c>
      <c r="J232" s="16" t="s">
        <v>140</v>
      </c>
      <c r="K232" s="25">
        <v>2017</v>
      </c>
      <c r="L232" s="20" t="s">
        <v>79</v>
      </c>
      <c r="M232" s="32" t="s">
        <v>822</v>
      </c>
      <c r="N232" s="16" t="s">
        <v>36</v>
      </c>
      <c r="O232" s="18" t="s">
        <v>154</v>
      </c>
      <c r="P232" s="18" t="s">
        <v>37</v>
      </c>
      <c r="Q232" s="18" t="s">
        <v>28</v>
      </c>
    </row>
    <row r="233" spans="1:17" ht="30" customHeight="1">
      <c r="A233" s="15" t="s">
        <v>823</v>
      </c>
      <c r="B233" s="24" t="s">
        <v>824</v>
      </c>
      <c r="C233" s="18" t="s">
        <v>821</v>
      </c>
      <c r="D233" s="16" t="s">
        <v>1440</v>
      </c>
      <c r="E233" s="16" t="s">
        <v>32</v>
      </c>
      <c r="F233" s="23" t="s">
        <v>30</v>
      </c>
      <c r="G233" s="23" t="s">
        <v>30</v>
      </c>
      <c r="H233" s="23" t="s">
        <v>30</v>
      </c>
      <c r="I233" s="92" t="str">
        <f t="shared" si="3"/>
        <v>N/A</v>
      </c>
      <c r="J233" s="16" t="s">
        <v>140</v>
      </c>
      <c r="K233" s="25">
        <v>2017</v>
      </c>
      <c r="L233" s="20" t="s">
        <v>82</v>
      </c>
      <c r="M233" s="32" t="s">
        <v>825</v>
      </c>
      <c r="N233" s="16" t="s">
        <v>36</v>
      </c>
      <c r="O233" s="18" t="s">
        <v>154</v>
      </c>
      <c r="P233" s="18" t="s">
        <v>37</v>
      </c>
      <c r="Q233" s="18" t="s">
        <v>28</v>
      </c>
    </row>
    <row r="234" spans="1:17" ht="30" customHeight="1">
      <c r="A234" s="15" t="s">
        <v>826</v>
      </c>
      <c r="B234" s="24" t="s">
        <v>30</v>
      </c>
      <c r="C234" s="18" t="s">
        <v>40</v>
      </c>
      <c r="D234" s="16" t="s">
        <v>1440</v>
      </c>
      <c r="E234" s="16" t="s">
        <v>32</v>
      </c>
      <c r="F234" s="23" t="s">
        <v>30</v>
      </c>
      <c r="G234" s="23" t="s">
        <v>30</v>
      </c>
      <c r="H234" s="23" t="s">
        <v>30</v>
      </c>
      <c r="I234" s="92" t="str">
        <f t="shared" si="3"/>
        <v>N/A</v>
      </c>
      <c r="J234" s="16" t="s">
        <v>140</v>
      </c>
      <c r="K234" s="25">
        <v>2017</v>
      </c>
      <c r="L234" s="20" t="s">
        <v>827</v>
      </c>
      <c r="M234" s="32" t="s">
        <v>828</v>
      </c>
      <c r="N234" s="16" t="s">
        <v>36</v>
      </c>
      <c r="O234" s="18" t="s">
        <v>154</v>
      </c>
      <c r="P234" s="18" t="s">
        <v>37</v>
      </c>
      <c r="Q234" s="18" t="s">
        <v>28</v>
      </c>
    </row>
    <row r="235" spans="1:17" ht="30" customHeight="1">
      <c r="A235" s="15" t="s">
        <v>829</v>
      </c>
      <c r="B235" s="24" t="s">
        <v>830</v>
      </c>
      <c r="C235" s="42" t="s">
        <v>831</v>
      </c>
      <c r="D235" s="16" t="s">
        <v>1440</v>
      </c>
      <c r="E235" s="16" t="s">
        <v>20</v>
      </c>
      <c r="F235" s="91">
        <v>45513</v>
      </c>
      <c r="G235" s="23" t="s">
        <v>22</v>
      </c>
      <c r="H235" s="22">
        <v>24</v>
      </c>
      <c r="I235" s="92">
        <f t="shared" si="3"/>
        <v>46243</v>
      </c>
      <c r="J235" s="16" t="s">
        <v>56</v>
      </c>
      <c r="K235" s="25">
        <v>2017</v>
      </c>
      <c r="L235" s="20">
        <v>3117</v>
      </c>
      <c r="M235" s="32" t="s">
        <v>832</v>
      </c>
      <c r="N235" s="16" t="s">
        <v>58</v>
      </c>
      <c r="O235" s="18" t="s">
        <v>529</v>
      </c>
      <c r="P235" s="18" t="s">
        <v>27</v>
      </c>
      <c r="Q235" s="18" t="s">
        <v>28</v>
      </c>
    </row>
    <row r="236" spans="1:17" ht="30" customHeight="1">
      <c r="A236" s="15" t="s">
        <v>833</v>
      </c>
      <c r="B236" s="24" t="s">
        <v>834</v>
      </c>
      <c r="C236" s="18" t="s">
        <v>831</v>
      </c>
      <c r="D236" s="16" t="s">
        <v>1440</v>
      </c>
      <c r="E236" s="16" t="s">
        <v>32</v>
      </c>
      <c r="F236" s="91" t="s">
        <v>30</v>
      </c>
      <c r="G236" s="23" t="s">
        <v>30</v>
      </c>
      <c r="H236" s="23" t="s">
        <v>30</v>
      </c>
      <c r="I236" s="92" t="str">
        <f t="shared" si="3"/>
        <v>N/A</v>
      </c>
      <c r="J236" s="16" t="s">
        <v>56</v>
      </c>
      <c r="K236" s="25">
        <v>2017</v>
      </c>
      <c r="L236" s="20" t="s">
        <v>61</v>
      </c>
      <c r="M236" s="32" t="s">
        <v>835</v>
      </c>
      <c r="N236" s="16" t="s">
        <v>58</v>
      </c>
      <c r="O236" s="18" t="s">
        <v>154</v>
      </c>
      <c r="P236" s="18" t="s">
        <v>37</v>
      </c>
      <c r="Q236" s="18" t="s">
        <v>489</v>
      </c>
    </row>
    <row r="237" spans="1:17" ht="30" customHeight="1">
      <c r="A237" s="15" t="s">
        <v>836</v>
      </c>
      <c r="B237" s="24" t="s">
        <v>30</v>
      </c>
      <c r="C237" s="18" t="s">
        <v>130</v>
      </c>
      <c r="D237" s="16" t="s">
        <v>1440</v>
      </c>
      <c r="E237" s="25" t="s">
        <v>20</v>
      </c>
      <c r="F237" s="91" t="s">
        <v>21</v>
      </c>
      <c r="G237" s="23" t="s">
        <v>22</v>
      </c>
      <c r="H237" s="22">
        <v>12</v>
      </c>
      <c r="I237" s="92">
        <f t="shared" si="3"/>
        <v>45861</v>
      </c>
      <c r="J237" s="16" t="s">
        <v>131</v>
      </c>
      <c r="K237" s="25">
        <v>2017</v>
      </c>
      <c r="L237" s="20" t="s">
        <v>132</v>
      </c>
      <c r="M237" s="32" t="s">
        <v>837</v>
      </c>
      <c r="N237" s="16" t="s">
        <v>134</v>
      </c>
      <c r="O237" s="18" t="s">
        <v>154</v>
      </c>
      <c r="P237" s="18" t="s">
        <v>27</v>
      </c>
      <c r="Q237" s="18" t="s">
        <v>28</v>
      </c>
    </row>
    <row r="238" spans="1:17" ht="30" customHeight="1">
      <c r="A238" s="15" t="s">
        <v>838</v>
      </c>
      <c r="B238" s="24" t="s">
        <v>30</v>
      </c>
      <c r="C238" s="18" t="s">
        <v>66</v>
      </c>
      <c r="D238" s="16" t="s">
        <v>1440</v>
      </c>
      <c r="E238" s="25" t="s">
        <v>20</v>
      </c>
      <c r="F238" s="91" t="s">
        <v>21</v>
      </c>
      <c r="G238" s="23" t="s">
        <v>22</v>
      </c>
      <c r="H238" s="22">
        <v>12</v>
      </c>
      <c r="I238" s="92">
        <f t="shared" si="3"/>
        <v>45861</v>
      </c>
      <c r="J238" s="16" t="s">
        <v>839</v>
      </c>
      <c r="K238" s="25">
        <v>2017</v>
      </c>
      <c r="L238" s="20" t="s">
        <v>840</v>
      </c>
      <c r="M238" s="32" t="s">
        <v>841</v>
      </c>
      <c r="N238" s="16" t="s">
        <v>36</v>
      </c>
      <c r="O238" s="18" t="s">
        <v>154</v>
      </c>
      <c r="P238" s="18" t="s">
        <v>27</v>
      </c>
      <c r="Q238" s="18" t="s">
        <v>28</v>
      </c>
    </row>
    <row r="239" spans="1:17" ht="30" customHeight="1">
      <c r="A239" s="15" t="s">
        <v>842</v>
      </c>
      <c r="B239" s="24" t="s">
        <v>30</v>
      </c>
      <c r="C239" s="18" t="s">
        <v>843</v>
      </c>
      <c r="D239" s="16" t="s">
        <v>1440</v>
      </c>
      <c r="E239" s="25" t="s">
        <v>20</v>
      </c>
      <c r="F239" s="91" t="s">
        <v>126</v>
      </c>
      <c r="G239" s="23" t="s">
        <v>22</v>
      </c>
      <c r="H239" s="22">
        <v>12</v>
      </c>
      <c r="I239" s="92">
        <f t="shared" si="3"/>
        <v>45863</v>
      </c>
      <c r="J239" s="16" t="s">
        <v>215</v>
      </c>
      <c r="K239" s="25">
        <v>2017</v>
      </c>
      <c r="L239" s="20" t="s">
        <v>216</v>
      </c>
      <c r="M239" s="32" t="s">
        <v>505</v>
      </c>
      <c r="N239" s="16" t="s">
        <v>36</v>
      </c>
      <c r="O239" s="18" t="s">
        <v>154</v>
      </c>
      <c r="P239" s="18" t="s">
        <v>27</v>
      </c>
      <c r="Q239" s="18" t="s">
        <v>28</v>
      </c>
    </row>
    <row r="240" spans="1:17" ht="30" customHeight="1">
      <c r="A240" s="15" t="s">
        <v>844</v>
      </c>
      <c r="B240" s="24" t="s">
        <v>30</v>
      </c>
      <c r="C240" s="18" t="s">
        <v>84</v>
      </c>
      <c r="D240" s="16" t="s">
        <v>1440</v>
      </c>
      <c r="E240" s="25" t="s">
        <v>20</v>
      </c>
      <c r="F240" s="91" t="s">
        <v>21</v>
      </c>
      <c r="G240" s="23" t="s">
        <v>22</v>
      </c>
      <c r="H240" s="22">
        <v>12</v>
      </c>
      <c r="I240" s="92">
        <f t="shared" si="3"/>
        <v>45861</v>
      </c>
      <c r="J240" s="16" t="s">
        <v>86</v>
      </c>
      <c r="K240" s="25">
        <v>2017</v>
      </c>
      <c r="L240" s="20" t="s">
        <v>87</v>
      </c>
      <c r="M240" s="32">
        <v>20</v>
      </c>
      <c r="N240" s="16" t="s">
        <v>845</v>
      </c>
      <c r="O240" s="18" t="s">
        <v>154</v>
      </c>
      <c r="P240" s="18" t="s">
        <v>27</v>
      </c>
      <c r="Q240" s="18" t="s">
        <v>28</v>
      </c>
    </row>
    <row r="241" spans="1:17" ht="30" customHeight="1">
      <c r="A241" s="15" t="s">
        <v>846</v>
      </c>
      <c r="B241" s="24" t="s">
        <v>30</v>
      </c>
      <c r="C241" s="18" t="s">
        <v>84</v>
      </c>
      <c r="D241" s="16" t="s">
        <v>1440</v>
      </c>
      <c r="E241" s="25" t="s">
        <v>20</v>
      </c>
      <c r="F241" s="91" t="s">
        <v>21</v>
      </c>
      <c r="G241" s="23" t="s">
        <v>22</v>
      </c>
      <c r="H241" s="22">
        <v>12</v>
      </c>
      <c r="I241" s="92">
        <f t="shared" si="3"/>
        <v>45861</v>
      </c>
      <c r="J241" s="16" t="s">
        <v>86</v>
      </c>
      <c r="K241" s="25">
        <v>2017</v>
      </c>
      <c r="L241" s="20" t="s">
        <v>92</v>
      </c>
      <c r="M241" s="32" t="s">
        <v>847</v>
      </c>
      <c r="N241" s="16" t="s">
        <v>848</v>
      </c>
      <c r="O241" s="18" t="s">
        <v>154</v>
      </c>
      <c r="P241" s="18" t="s">
        <v>27</v>
      </c>
      <c r="Q241" s="18" t="s">
        <v>28</v>
      </c>
    </row>
    <row r="242" spans="1:17" ht="30" customHeight="1">
      <c r="A242" s="15" t="s">
        <v>849</v>
      </c>
      <c r="B242" s="24" t="s">
        <v>30</v>
      </c>
      <c r="C242" s="18" t="s">
        <v>84</v>
      </c>
      <c r="D242" s="16" t="s">
        <v>1440</v>
      </c>
      <c r="E242" s="25" t="s">
        <v>20</v>
      </c>
      <c r="F242" s="91" t="s">
        <v>21</v>
      </c>
      <c r="G242" s="22" t="s">
        <v>22</v>
      </c>
      <c r="H242" s="22">
        <v>12</v>
      </c>
      <c r="I242" s="92">
        <f t="shared" si="3"/>
        <v>45861</v>
      </c>
      <c r="J242" s="16" t="s">
        <v>86</v>
      </c>
      <c r="K242" s="25">
        <v>2017</v>
      </c>
      <c r="L242" s="20" t="s">
        <v>96</v>
      </c>
      <c r="M242" s="32" t="s">
        <v>850</v>
      </c>
      <c r="N242" s="16" t="s">
        <v>851</v>
      </c>
      <c r="O242" s="18" t="s">
        <v>154</v>
      </c>
      <c r="P242" s="18" t="s">
        <v>27</v>
      </c>
      <c r="Q242" s="18" t="s">
        <v>28</v>
      </c>
    </row>
    <row r="243" spans="1:17" ht="30" customHeight="1">
      <c r="A243" s="15" t="s">
        <v>852</v>
      </c>
      <c r="B243" s="24" t="s">
        <v>30</v>
      </c>
      <c r="C243" s="18" t="s">
        <v>853</v>
      </c>
      <c r="D243" s="16" t="s">
        <v>1440</v>
      </c>
      <c r="E243" s="16" t="s">
        <v>32</v>
      </c>
      <c r="F243" s="91" t="s">
        <v>30</v>
      </c>
      <c r="G243" s="91" t="s">
        <v>30</v>
      </c>
      <c r="H243" s="91" t="s">
        <v>30</v>
      </c>
      <c r="I243" s="92" t="str">
        <f t="shared" si="3"/>
        <v>N/A</v>
      </c>
      <c r="J243" s="16" t="s">
        <v>209</v>
      </c>
      <c r="K243" s="25">
        <v>2017</v>
      </c>
      <c r="L243" s="20" t="s">
        <v>34</v>
      </c>
      <c r="M243" s="32" t="s">
        <v>854</v>
      </c>
      <c r="N243" s="16" t="s">
        <v>36</v>
      </c>
      <c r="O243" s="18" t="s">
        <v>154</v>
      </c>
      <c r="P243" s="18" t="s">
        <v>37</v>
      </c>
      <c r="Q243" s="18" t="s">
        <v>28</v>
      </c>
    </row>
    <row r="244" spans="1:17" ht="30" customHeight="1">
      <c r="A244" s="15" t="s">
        <v>855</v>
      </c>
      <c r="B244" s="24" t="s">
        <v>856</v>
      </c>
      <c r="C244" s="18" t="s">
        <v>857</v>
      </c>
      <c r="D244" s="16" t="s">
        <v>1440</v>
      </c>
      <c r="E244" s="25" t="s">
        <v>20</v>
      </c>
      <c r="F244" s="91" t="s">
        <v>85</v>
      </c>
      <c r="G244" s="22" t="s">
        <v>22</v>
      </c>
      <c r="H244" s="22">
        <v>12</v>
      </c>
      <c r="I244" s="92">
        <f t="shared" si="3"/>
        <v>45860</v>
      </c>
      <c r="J244" s="16" t="s">
        <v>67</v>
      </c>
      <c r="K244" s="25">
        <v>2017</v>
      </c>
      <c r="L244" s="20" t="s">
        <v>68</v>
      </c>
      <c r="M244" s="32">
        <v>370599</v>
      </c>
      <c r="N244" s="16" t="s">
        <v>36</v>
      </c>
      <c r="O244" s="18" t="s">
        <v>154</v>
      </c>
      <c r="P244" s="18" t="s">
        <v>27</v>
      </c>
      <c r="Q244" s="18" t="s">
        <v>28</v>
      </c>
    </row>
    <row r="245" spans="1:17" ht="30" customHeight="1">
      <c r="A245" s="15" t="s">
        <v>858</v>
      </c>
      <c r="B245" s="24" t="s">
        <v>30</v>
      </c>
      <c r="C245" s="18" t="s">
        <v>130</v>
      </c>
      <c r="D245" s="16" t="s">
        <v>1440</v>
      </c>
      <c r="E245" s="25" t="s">
        <v>20</v>
      </c>
      <c r="F245" s="91">
        <v>45497</v>
      </c>
      <c r="G245" s="22" t="s">
        <v>22</v>
      </c>
      <c r="H245" s="22">
        <v>12</v>
      </c>
      <c r="I245" s="92">
        <f t="shared" si="3"/>
        <v>45862</v>
      </c>
      <c r="J245" s="16" t="s">
        <v>131</v>
      </c>
      <c r="K245" s="25">
        <v>2021</v>
      </c>
      <c r="L245" s="20" t="s">
        <v>132</v>
      </c>
      <c r="M245" s="32" t="s">
        <v>859</v>
      </c>
      <c r="N245" s="16" t="s">
        <v>134</v>
      </c>
      <c r="O245" s="18" t="s">
        <v>765</v>
      </c>
      <c r="P245" s="18" t="s">
        <v>27</v>
      </c>
      <c r="Q245" s="19" t="s">
        <v>28</v>
      </c>
    </row>
    <row r="246" spans="1:17" ht="30" customHeight="1">
      <c r="A246" s="15" t="s">
        <v>860</v>
      </c>
      <c r="B246" s="24" t="s">
        <v>30</v>
      </c>
      <c r="C246" s="18" t="s">
        <v>208</v>
      </c>
      <c r="D246" s="16" t="s">
        <v>1440</v>
      </c>
      <c r="E246" s="25" t="s">
        <v>20</v>
      </c>
      <c r="F246" s="91" t="s">
        <v>21</v>
      </c>
      <c r="G246" s="22" t="s">
        <v>22</v>
      </c>
      <c r="H246" s="22">
        <v>12</v>
      </c>
      <c r="I246" s="92">
        <f t="shared" si="3"/>
        <v>45861</v>
      </c>
      <c r="J246" s="16" t="s">
        <v>23</v>
      </c>
      <c r="K246" s="25">
        <v>2021</v>
      </c>
      <c r="L246" s="20" t="s">
        <v>861</v>
      </c>
      <c r="M246" s="32" t="s">
        <v>862</v>
      </c>
      <c r="N246" s="16" t="s">
        <v>863</v>
      </c>
      <c r="O246" s="18" t="s">
        <v>529</v>
      </c>
      <c r="P246" s="18" t="s">
        <v>27</v>
      </c>
      <c r="Q246" s="19" t="s">
        <v>28</v>
      </c>
    </row>
    <row r="247" spans="1:17" ht="30" customHeight="1">
      <c r="A247" s="15" t="s">
        <v>864</v>
      </c>
      <c r="B247" s="24">
        <v>213373</v>
      </c>
      <c r="C247" s="18" t="s">
        <v>471</v>
      </c>
      <c r="D247" s="16" t="s">
        <v>1440</v>
      </c>
      <c r="E247" s="25" t="s">
        <v>20</v>
      </c>
      <c r="F247" s="91" t="s">
        <v>383</v>
      </c>
      <c r="G247" s="22" t="s">
        <v>22</v>
      </c>
      <c r="H247" s="22">
        <v>12</v>
      </c>
      <c r="I247" s="92">
        <f t="shared" si="3"/>
        <v>46024</v>
      </c>
      <c r="J247" s="16" t="s">
        <v>525</v>
      </c>
      <c r="K247" s="25">
        <v>2021</v>
      </c>
      <c r="L247" s="20" t="s">
        <v>865</v>
      </c>
      <c r="M247" s="32" t="s">
        <v>866</v>
      </c>
      <c r="N247" s="16" t="s">
        <v>867</v>
      </c>
      <c r="O247" s="18" t="s">
        <v>110</v>
      </c>
      <c r="P247" s="18" t="s">
        <v>27</v>
      </c>
      <c r="Q247" s="19" t="s">
        <v>28</v>
      </c>
    </row>
    <row r="248" spans="1:17" ht="30" customHeight="1">
      <c r="A248" s="15" t="s">
        <v>868</v>
      </c>
      <c r="B248" s="24" t="s">
        <v>869</v>
      </c>
      <c r="C248" s="18" t="s">
        <v>208</v>
      </c>
      <c r="D248" s="16" t="s">
        <v>1440</v>
      </c>
      <c r="E248" s="25" t="s">
        <v>20</v>
      </c>
      <c r="F248" s="91" t="s">
        <v>589</v>
      </c>
      <c r="G248" s="22" t="s">
        <v>22</v>
      </c>
      <c r="H248" s="22">
        <v>12</v>
      </c>
      <c r="I248" s="92">
        <f t="shared" si="3"/>
        <v>46025</v>
      </c>
      <c r="J248" s="16" t="s">
        <v>525</v>
      </c>
      <c r="K248" s="25">
        <v>2021</v>
      </c>
      <c r="L248" s="20" t="s">
        <v>870</v>
      </c>
      <c r="M248" s="32" t="s">
        <v>871</v>
      </c>
      <c r="N248" s="16" t="s">
        <v>872</v>
      </c>
      <c r="O248" s="18" t="s">
        <v>253</v>
      </c>
      <c r="P248" s="18" t="s">
        <v>27</v>
      </c>
      <c r="Q248" s="19" t="s">
        <v>28</v>
      </c>
    </row>
    <row r="249" spans="1:17" ht="30" customHeight="1">
      <c r="A249" s="15" t="s">
        <v>873</v>
      </c>
      <c r="B249" s="24" t="s">
        <v>874</v>
      </c>
      <c r="C249" s="18" t="s">
        <v>208</v>
      </c>
      <c r="D249" s="16" t="s">
        <v>1440</v>
      </c>
      <c r="E249" s="25" t="s">
        <v>20</v>
      </c>
      <c r="F249" s="91" t="s">
        <v>589</v>
      </c>
      <c r="G249" s="22" t="s">
        <v>22</v>
      </c>
      <c r="H249" s="22">
        <v>12</v>
      </c>
      <c r="I249" s="92">
        <f t="shared" si="3"/>
        <v>46025</v>
      </c>
      <c r="J249" s="16" t="s">
        <v>525</v>
      </c>
      <c r="K249" s="25">
        <v>2021</v>
      </c>
      <c r="L249" s="20" t="s">
        <v>870</v>
      </c>
      <c r="M249" s="32" t="s">
        <v>875</v>
      </c>
      <c r="N249" s="16" t="s">
        <v>872</v>
      </c>
      <c r="O249" s="18" t="s">
        <v>253</v>
      </c>
      <c r="P249" s="18" t="s">
        <v>27</v>
      </c>
      <c r="Q249" s="19" t="s">
        <v>28</v>
      </c>
    </row>
    <row r="250" spans="1:17" ht="30" customHeight="1">
      <c r="A250" s="15" t="s">
        <v>876</v>
      </c>
      <c r="B250" s="24">
        <v>213411</v>
      </c>
      <c r="C250" s="18" t="s">
        <v>612</v>
      </c>
      <c r="D250" s="16" t="s">
        <v>1440</v>
      </c>
      <c r="E250" s="25" t="s">
        <v>20</v>
      </c>
      <c r="F250" s="91" t="s">
        <v>589</v>
      </c>
      <c r="G250" s="22" t="s">
        <v>22</v>
      </c>
      <c r="H250" s="22">
        <v>12</v>
      </c>
      <c r="I250" s="92">
        <f t="shared" si="3"/>
        <v>46025</v>
      </c>
      <c r="J250" s="16" t="s">
        <v>525</v>
      </c>
      <c r="K250" s="25">
        <v>2022</v>
      </c>
      <c r="L250" s="20" t="s">
        <v>614</v>
      </c>
      <c r="M250" s="20" t="s">
        <v>877</v>
      </c>
      <c r="N250" s="16" t="s">
        <v>36</v>
      </c>
      <c r="O250" s="18" t="s">
        <v>26</v>
      </c>
      <c r="P250" s="18" t="s">
        <v>27</v>
      </c>
      <c r="Q250" s="19" t="s">
        <v>28</v>
      </c>
    </row>
    <row r="251" spans="1:17" ht="30" customHeight="1">
      <c r="A251" s="15" t="s">
        <v>878</v>
      </c>
      <c r="B251" s="24" t="s">
        <v>30</v>
      </c>
      <c r="C251" s="18" t="s">
        <v>879</v>
      </c>
      <c r="D251" s="16" t="s">
        <v>1440</v>
      </c>
      <c r="E251" s="25" t="s">
        <v>20</v>
      </c>
      <c r="F251" s="91" t="s">
        <v>21</v>
      </c>
      <c r="G251" s="22" t="s">
        <v>22</v>
      </c>
      <c r="H251" s="22">
        <v>12</v>
      </c>
      <c r="I251" s="92">
        <f t="shared" si="3"/>
        <v>45861</v>
      </c>
      <c r="J251" s="16" t="s">
        <v>525</v>
      </c>
      <c r="K251" s="25">
        <v>2022</v>
      </c>
      <c r="L251" s="20" t="s">
        <v>880</v>
      </c>
      <c r="M251" s="32" t="s">
        <v>881</v>
      </c>
      <c r="N251" s="16" t="s">
        <v>867</v>
      </c>
      <c r="O251" s="18" t="s">
        <v>529</v>
      </c>
      <c r="P251" s="18" t="s">
        <v>27</v>
      </c>
      <c r="Q251" s="19" t="s">
        <v>28</v>
      </c>
    </row>
    <row r="252" spans="1:17" ht="30" customHeight="1">
      <c r="A252" s="15" t="s">
        <v>882</v>
      </c>
      <c r="B252" s="24" t="s">
        <v>30</v>
      </c>
      <c r="C252" s="18" t="s">
        <v>879</v>
      </c>
      <c r="D252" s="16" t="s">
        <v>1440</v>
      </c>
      <c r="E252" s="25" t="s">
        <v>20</v>
      </c>
      <c r="F252" s="91" t="s">
        <v>21</v>
      </c>
      <c r="G252" s="22" t="s">
        <v>22</v>
      </c>
      <c r="H252" s="22">
        <v>12</v>
      </c>
      <c r="I252" s="92">
        <f t="shared" si="3"/>
        <v>45861</v>
      </c>
      <c r="J252" s="16" t="s">
        <v>525</v>
      </c>
      <c r="K252" s="25">
        <v>2022</v>
      </c>
      <c r="L252" s="20" t="s">
        <v>880</v>
      </c>
      <c r="M252" s="32" t="s">
        <v>883</v>
      </c>
      <c r="N252" s="16" t="s">
        <v>867</v>
      </c>
      <c r="O252" s="18" t="s">
        <v>529</v>
      </c>
      <c r="P252" s="18" t="s">
        <v>27</v>
      </c>
      <c r="Q252" s="19" t="s">
        <v>28</v>
      </c>
    </row>
    <row r="253" spans="1:17" ht="30" customHeight="1">
      <c r="A253" s="15" t="s">
        <v>884</v>
      </c>
      <c r="B253" s="24" t="s">
        <v>885</v>
      </c>
      <c r="C253" s="18" t="s">
        <v>226</v>
      </c>
      <c r="D253" s="16" t="s">
        <v>1440</v>
      </c>
      <c r="E253" s="25" t="s">
        <v>20</v>
      </c>
      <c r="F253" s="91" t="s">
        <v>105</v>
      </c>
      <c r="G253" s="22" t="s">
        <v>22</v>
      </c>
      <c r="H253" s="22">
        <v>12</v>
      </c>
      <c r="I253" s="92">
        <f t="shared" si="3"/>
        <v>45862</v>
      </c>
      <c r="J253" s="16" t="s">
        <v>525</v>
      </c>
      <c r="K253" s="25">
        <v>2022</v>
      </c>
      <c r="L253" s="20" t="s">
        <v>886</v>
      </c>
      <c r="M253" s="32" t="s">
        <v>887</v>
      </c>
      <c r="N253" s="16" t="s">
        <v>888</v>
      </c>
      <c r="O253" s="18" t="s">
        <v>529</v>
      </c>
      <c r="P253" s="18" t="s">
        <v>27</v>
      </c>
      <c r="Q253" s="19" t="s">
        <v>28</v>
      </c>
    </row>
    <row r="254" spans="1:17" ht="30" customHeight="1">
      <c r="A254" s="15" t="s">
        <v>889</v>
      </c>
      <c r="B254" s="24" t="s">
        <v>885</v>
      </c>
      <c r="C254" s="18" t="s">
        <v>226</v>
      </c>
      <c r="D254" s="16" t="s">
        <v>1440</v>
      </c>
      <c r="E254" s="25" t="s">
        <v>20</v>
      </c>
      <c r="F254" s="91" t="s">
        <v>105</v>
      </c>
      <c r="G254" s="22" t="s">
        <v>22</v>
      </c>
      <c r="H254" s="22">
        <v>12</v>
      </c>
      <c r="I254" s="92">
        <f t="shared" si="3"/>
        <v>45862</v>
      </c>
      <c r="J254" s="16" t="s">
        <v>525</v>
      </c>
      <c r="K254" s="25">
        <v>2022</v>
      </c>
      <c r="L254" s="20" t="s">
        <v>886</v>
      </c>
      <c r="M254" s="32" t="s">
        <v>890</v>
      </c>
      <c r="N254" s="16" t="s">
        <v>888</v>
      </c>
      <c r="O254" s="18" t="s">
        <v>529</v>
      </c>
      <c r="P254" s="18" t="s">
        <v>27</v>
      </c>
      <c r="Q254" s="19" t="s">
        <v>28</v>
      </c>
    </row>
    <row r="255" spans="1:17" ht="30" customHeight="1">
      <c r="A255" s="15" t="s">
        <v>891</v>
      </c>
      <c r="B255" s="24" t="s">
        <v>794</v>
      </c>
      <c r="C255" s="18" t="s">
        <v>795</v>
      </c>
      <c r="D255" s="16" t="s">
        <v>1440</v>
      </c>
      <c r="E255" s="25" t="s">
        <v>20</v>
      </c>
      <c r="F255" s="91" t="s">
        <v>21</v>
      </c>
      <c r="G255" s="22" t="s">
        <v>22</v>
      </c>
      <c r="H255" s="22">
        <v>12</v>
      </c>
      <c r="I255" s="92">
        <f t="shared" si="3"/>
        <v>45861</v>
      </c>
      <c r="J255" s="16" t="s">
        <v>23</v>
      </c>
      <c r="K255" s="25">
        <v>2021</v>
      </c>
      <c r="L255" s="20" t="s">
        <v>796</v>
      </c>
      <c r="M255" s="32" t="s">
        <v>892</v>
      </c>
      <c r="N255" s="16" t="s">
        <v>797</v>
      </c>
      <c r="O255" s="18" t="s">
        <v>253</v>
      </c>
      <c r="P255" s="18" t="s">
        <v>27</v>
      </c>
      <c r="Q255" s="19" t="s">
        <v>28</v>
      </c>
    </row>
    <row r="256" spans="1:17" ht="30" customHeight="1">
      <c r="A256" s="15" t="s">
        <v>893</v>
      </c>
      <c r="B256" s="24" t="s">
        <v>30</v>
      </c>
      <c r="C256" s="18" t="s">
        <v>145</v>
      </c>
      <c r="D256" s="16" t="s">
        <v>1440</v>
      </c>
      <c r="E256" s="25" t="s">
        <v>146</v>
      </c>
      <c r="F256" s="91" t="s">
        <v>30</v>
      </c>
      <c r="G256" s="22" t="s">
        <v>22</v>
      </c>
      <c r="H256" s="22" t="s">
        <v>30</v>
      </c>
      <c r="I256" s="92" t="str">
        <f t="shared" si="3"/>
        <v>N/A</v>
      </c>
      <c r="J256" s="16" t="s">
        <v>202</v>
      </c>
      <c r="K256" s="25">
        <v>2022</v>
      </c>
      <c r="L256" s="20" t="s">
        <v>813</v>
      </c>
      <c r="M256" s="32" t="s">
        <v>894</v>
      </c>
      <c r="N256" s="16" t="s">
        <v>36</v>
      </c>
      <c r="O256" s="18" t="s">
        <v>765</v>
      </c>
      <c r="P256" s="18" t="s">
        <v>37</v>
      </c>
      <c r="Q256" s="19" t="s">
        <v>28</v>
      </c>
    </row>
    <row r="257" spans="1:18" ht="30" customHeight="1">
      <c r="A257" s="15" t="s">
        <v>895</v>
      </c>
      <c r="B257" s="24" t="s">
        <v>30</v>
      </c>
      <c r="C257" s="18" t="s">
        <v>145</v>
      </c>
      <c r="D257" s="16" t="s">
        <v>1440</v>
      </c>
      <c r="E257" s="25" t="s">
        <v>146</v>
      </c>
      <c r="F257" s="91" t="s">
        <v>30</v>
      </c>
      <c r="G257" s="22" t="s">
        <v>22</v>
      </c>
      <c r="H257" s="22" t="s">
        <v>30</v>
      </c>
      <c r="I257" s="92" t="str">
        <f t="shared" si="3"/>
        <v>N/A</v>
      </c>
      <c r="J257" s="16" t="s">
        <v>202</v>
      </c>
      <c r="K257" s="25">
        <v>2022</v>
      </c>
      <c r="L257" s="20" t="s">
        <v>813</v>
      </c>
      <c r="M257" s="32" t="s">
        <v>896</v>
      </c>
      <c r="N257" s="16" t="s">
        <v>36</v>
      </c>
      <c r="O257" s="18" t="s">
        <v>529</v>
      </c>
      <c r="P257" s="18" t="s">
        <v>37</v>
      </c>
      <c r="Q257" s="19" t="s">
        <v>28</v>
      </c>
    </row>
    <row r="258" spans="1:18" ht="30" customHeight="1">
      <c r="A258" s="15" t="s">
        <v>897</v>
      </c>
      <c r="B258" s="24" t="s">
        <v>898</v>
      </c>
      <c r="C258" s="18" t="s">
        <v>721</v>
      </c>
      <c r="D258" s="16" t="s">
        <v>1440</v>
      </c>
      <c r="E258" s="25" t="s">
        <v>20</v>
      </c>
      <c r="F258" s="91" t="s">
        <v>589</v>
      </c>
      <c r="G258" s="22" t="s">
        <v>22</v>
      </c>
      <c r="H258" s="22">
        <v>12</v>
      </c>
      <c r="I258" s="92">
        <f t="shared" si="3"/>
        <v>46025</v>
      </c>
      <c r="J258" s="16" t="s">
        <v>234</v>
      </c>
      <c r="K258" s="25">
        <v>2022</v>
      </c>
      <c r="L258" s="20" t="s">
        <v>722</v>
      </c>
      <c r="M258" s="32" t="s">
        <v>899</v>
      </c>
      <c r="N258" s="16" t="s">
        <v>36</v>
      </c>
      <c r="O258" s="18" t="s">
        <v>253</v>
      </c>
      <c r="P258" s="18" t="s">
        <v>27</v>
      </c>
      <c r="Q258" s="19" t="s">
        <v>28</v>
      </c>
    </row>
    <row r="259" spans="1:18" ht="30" customHeight="1">
      <c r="A259" s="15" t="s">
        <v>900</v>
      </c>
      <c r="B259" s="24" t="s">
        <v>898</v>
      </c>
      <c r="C259" s="18" t="s">
        <v>721</v>
      </c>
      <c r="D259" s="16" t="s">
        <v>1440</v>
      </c>
      <c r="E259" s="25" t="s">
        <v>20</v>
      </c>
      <c r="F259" s="91" t="s">
        <v>589</v>
      </c>
      <c r="G259" s="22" t="s">
        <v>22</v>
      </c>
      <c r="H259" s="22">
        <v>12</v>
      </c>
      <c r="I259" s="92">
        <f t="shared" ref="I259:I322" si="4">IF(H259=12,DATE(YEAR(F259)+1,MONTH(F259),DAY(F259)),IF(H259=24,DATE(YEAR(F259)+2,MONTH(F259),DAY(F259)),IF(H259="N/A","N/A")))</f>
        <v>46025</v>
      </c>
      <c r="J259" s="16" t="s">
        <v>234</v>
      </c>
      <c r="K259" s="25">
        <v>2022</v>
      </c>
      <c r="L259" s="20" t="s">
        <v>722</v>
      </c>
      <c r="M259" s="32" t="s">
        <v>901</v>
      </c>
      <c r="N259" s="16" t="s">
        <v>36</v>
      </c>
      <c r="O259" s="18" t="s">
        <v>253</v>
      </c>
      <c r="P259" s="18" t="s">
        <v>27</v>
      </c>
      <c r="Q259" s="19" t="s">
        <v>28</v>
      </c>
    </row>
    <row r="260" spans="1:18" ht="30" customHeight="1">
      <c r="A260" s="15" t="s">
        <v>902</v>
      </c>
      <c r="B260" s="24" t="s">
        <v>898</v>
      </c>
      <c r="C260" s="18" t="s">
        <v>721</v>
      </c>
      <c r="D260" s="16" t="s">
        <v>1440</v>
      </c>
      <c r="E260" s="25" t="s">
        <v>20</v>
      </c>
      <c r="F260" s="91" t="s">
        <v>589</v>
      </c>
      <c r="G260" s="22" t="s">
        <v>22</v>
      </c>
      <c r="H260" s="22">
        <v>12</v>
      </c>
      <c r="I260" s="92">
        <f t="shared" si="4"/>
        <v>46025</v>
      </c>
      <c r="J260" s="16" t="s">
        <v>234</v>
      </c>
      <c r="K260" s="25">
        <v>2022</v>
      </c>
      <c r="L260" s="20" t="s">
        <v>722</v>
      </c>
      <c r="M260" s="32" t="s">
        <v>903</v>
      </c>
      <c r="N260" s="16" t="s">
        <v>36</v>
      </c>
      <c r="O260" s="18" t="s">
        <v>253</v>
      </c>
      <c r="P260" s="18" t="s">
        <v>27</v>
      </c>
      <c r="Q260" s="19" t="s">
        <v>28</v>
      </c>
    </row>
    <row r="261" spans="1:18" ht="30" customHeight="1">
      <c r="A261" s="15" t="s">
        <v>904</v>
      </c>
      <c r="B261" s="24" t="s">
        <v>898</v>
      </c>
      <c r="C261" s="18" t="s">
        <v>721</v>
      </c>
      <c r="D261" s="16" t="s">
        <v>1440</v>
      </c>
      <c r="E261" s="25" t="s">
        <v>20</v>
      </c>
      <c r="F261" s="91" t="s">
        <v>613</v>
      </c>
      <c r="G261" s="22" t="s">
        <v>22</v>
      </c>
      <c r="H261" s="22">
        <v>12</v>
      </c>
      <c r="I261" s="92">
        <f t="shared" si="4"/>
        <v>46042</v>
      </c>
      <c r="J261" s="16" t="s">
        <v>234</v>
      </c>
      <c r="K261" s="25">
        <v>2022</v>
      </c>
      <c r="L261" s="20" t="s">
        <v>722</v>
      </c>
      <c r="M261" s="32" t="s">
        <v>905</v>
      </c>
      <c r="N261" s="16" t="s">
        <v>36</v>
      </c>
      <c r="O261" s="18" t="s">
        <v>253</v>
      </c>
      <c r="P261" s="18" t="s">
        <v>27</v>
      </c>
      <c r="Q261" s="19" t="s">
        <v>28</v>
      </c>
    </row>
    <row r="262" spans="1:18" ht="30" customHeight="1">
      <c r="A262" s="15" t="s">
        <v>906</v>
      </c>
      <c r="B262" s="24" t="s">
        <v>898</v>
      </c>
      <c r="C262" s="18" t="s">
        <v>721</v>
      </c>
      <c r="D262" s="16" t="s">
        <v>1440</v>
      </c>
      <c r="E262" s="25" t="s">
        <v>20</v>
      </c>
      <c r="F262" s="91" t="s">
        <v>613</v>
      </c>
      <c r="G262" s="22" t="s">
        <v>22</v>
      </c>
      <c r="H262" s="22">
        <v>12</v>
      </c>
      <c r="I262" s="92">
        <f t="shared" si="4"/>
        <v>46042</v>
      </c>
      <c r="J262" s="16" t="s">
        <v>234</v>
      </c>
      <c r="K262" s="25">
        <v>2022</v>
      </c>
      <c r="L262" s="20" t="s">
        <v>722</v>
      </c>
      <c r="M262" s="32" t="s">
        <v>907</v>
      </c>
      <c r="N262" s="16" t="s">
        <v>36</v>
      </c>
      <c r="O262" s="18" t="s">
        <v>253</v>
      </c>
      <c r="P262" s="18" t="s">
        <v>27</v>
      </c>
      <c r="Q262" s="19" t="s">
        <v>28</v>
      </c>
    </row>
    <row r="263" spans="1:18" ht="30" customHeight="1">
      <c r="A263" s="15" t="s">
        <v>908</v>
      </c>
      <c r="B263" s="24" t="s">
        <v>898</v>
      </c>
      <c r="C263" s="18" t="s">
        <v>721</v>
      </c>
      <c r="D263" s="16" t="s">
        <v>1440</v>
      </c>
      <c r="E263" s="25" t="s">
        <v>20</v>
      </c>
      <c r="F263" s="91" t="s">
        <v>613</v>
      </c>
      <c r="G263" s="22" t="s">
        <v>22</v>
      </c>
      <c r="H263" s="22">
        <v>12</v>
      </c>
      <c r="I263" s="92">
        <f t="shared" si="4"/>
        <v>46042</v>
      </c>
      <c r="J263" s="16" t="s">
        <v>234</v>
      </c>
      <c r="K263" s="25">
        <v>2022</v>
      </c>
      <c r="L263" s="20" t="s">
        <v>722</v>
      </c>
      <c r="M263" s="32" t="s">
        <v>909</v>
      </c>
      <c r="N263" s="16" t="s">
        <v>36</v>
      </c>
      <c r="O263" s="18" t="s">
        <v>253</v>
      </c>
      <c r="P263" s="18" t="s">
        <v>27</v>
      </c>
      <c r="Q263" s="19" t="s">
        <v>28</v>
      </c>
    </row>
    <row r="264" spans="1:18" ht="30" customHeight="1">
      <c r="A264" s="15" t="s">
        <v>910</v>
      </c>
      <c r="B264" s="24" t="s">
        <v>30</v>
      </c>
      <c r="C264" s="18" t="s">
        <v>214</v>
      </c>
      <c r="D264" s="16" t="s">
        <v>1440</v>
      </c>
      <c r="E264" s="25" t="s">
        <v>20</v>
      </c>
      <c r="F264" s="91" t="s">
        <v>383</v>
      </c>
      <c r="G264" s="22" t="s">
        <v>22</v>
      </c>
      <c r="H264" s="22">
        <v>12</v>
      </c>
      <c r="I264" s="92">
        <f t="shared" si="4"/>
        <v>46024</v>
      </c>
      <c r="J264" s="16" t="s">
        <v>215</v>
      </c>
      <c r="K264" s="25">
        <v>2022</v>
      </c>
      <c r="L264" s="20" t="s">
        <v>494</v>
      </c>
      <c r="M264" s="32" t="s">
        <v>495</v>
      </c>
      <c r="N264" s="16" t="s">
        <v>496</v>
      </c>
      <c r="O264" s="18" t="s">
        <v>253</v>
      </c>
      <c r="P264" s="18" t="s">
        <v>27</v>
      </c>
      <c r="Q264" s="19" t="s">
        <v>28</v>
      </c>
    </row>
    <row r="265" spans="1:18" ht="30" customHeight="1">
      <c r="A265" s="15" t="s">
        <v>911</v>
      </c>
      <c r="B265" s="24" t="s">
        <v>30</v>
      </c>
      <c r="C265" s="18" t="s">
        <v>214</v>
      </c>
      <c r="D265" s="16" t="s">
        <v>1440</v>
      </c>
      <c r="E265" s="25" t="s">
        <v>20</v>
      </c>
      <c r="F265" s="91" t="s">
        <v>383</v>
      </c>
      <c r="G265" s="22" t="s">
        <v>22</v>
      </c>
      <c r="H265" s="22">
        <v>12</v>
      </c>
      <c r="I265" s="92">
        <f t="shared" si="4"/>
        <v>46024</v>
      </c>
      <c r="J265" s="16" t="s">
        <v>215</v>
      </c>
      <c r="K265" s="25">
        <v>2022</v>
      </c>
      <c r="L265" s="20" t="s">
        <v>494</v>
      </c>
      <c r="M265" s="32" t="s">
        <v>498</v>
      </c>
      <c r="N265" s="16" t="s">
        <v>496</v>
      </c>
      <c r="O265" s="18" t="s">
        <v>253</v>
      </c>
      <c r="P265" s="18" t="s">
        <v>27</v>
      </c>
      <c r="Q265" s="19" t="s">
        <v>28</v>
      </c>
    </row>
    <row r="266" spans="1:18" ht="30" customHeight="1">
      <c r="A266" s="15" t="s">
        <v>912</v>
      </c>
      <c r="B266" s="24">
        <v>226769</v>
      </c>
      <c r="C266" s="18" t="s">
        <v>304</v>
      </c>
      <c r="D266" s="16" t="s">
        <v>1440</v>
      </c>
      <c r="E266" s="25" t="s">
        <v>32</v>
      </c>
      <c r="F266" s="91" t="s">
        <v>30</v>
      </c>
      <c r="G266" s="23" t="s">
        <v>30</v>
      </c>
      <c r="H266" s="23" t="s">
        <v>30</v>
      </c>
      <c r="I266" s="92" t="str">
        <f t="shared" si="4"/>
        <v>N/A</v>
      </c>
      <c r="J266" s="16" t="s">
        <v>56</v>
      </c>
      <c r="K266" s="25">
        <v>2023</v>
      </c>
      <c r="L266" s="20">
        <v>3117</v>
      </c>
      <c r="M266" s="32" t="s">
        <v>913</v>
      </c>
      <c r="N266" s="16" t="s">
        <v>643</v>
      </c>
      <c r="O266" s="18" t="s">
        <v>529</v>
      </c>
      <c r="P266" s="18" t="s">
        <v>37</v>
      </c>
      <c r="Q266" s="19" t="s">
        <v>489</v>
      </c>
      <c r="R266" s="43"/>
    </row>
    <row r="267" spans="1:18" ht="30" customHeight="1">
      <c r="A267" s="15" t="s">
        <v>914</v>
      </c>
      <c r="B267" s="24">
        <v>226770</v>
      </c>
      <c r="C267" s="18" t="s">
        <v>304</v>
      </c>
      <c r="D267" s="16" t="s">
        <v>1440</v>
      </c>
      <c r="E267" s="25" t="s">
        <v>32</v>
      </c>
      <c r="F267" s="23" t="s">
        <v>30</v>
      </c>
      <c r="G267" s="23" t="s">
        <v>30</v>
      </c>
      <c r="H267" s="23" t="s">
        <v>30</v>
      </c>
      <c r="I267" s="92" t="str">
        <f t="shared" si="4"/>
        <v>N/A</v>
      </c>
      <c r="J267" s="16" t="s">
        <v>56</v>
      </c>
      <c r="K267" s="25">
        <v>2023</v>
      </c>
      <c r="L267" s="20">
        <v>3117</v>
      </c>
      <c r="M267" s="32" t="s">
        <v>915</v>
      </c>
      <c r="N267" s="16" t="s">
        <v>643</v>
      </c>
      <c r="O267" s="18" t="s">
        <v>765</v>
      </c>
      <c r="P267" s="18" t="s">
        <v>37</v>
      </c>
      <c r="Q267" s="19" t="s">
        <v>489</v>
      </c>
      <c r="R267" s="43"/>
    </row>
    <row r="268" spans="1:18" ht="30" customHeight="1">
      <c r="A268" s="15" t="s">
        <v>916</v>
      </c>
      <c r="B268" s="24">
        <v>252687</v>
      </c>
      <c r="C268" s="18" t="s">
        <v>516</v>
      </c>
      <c r="D268" s="16" t="s">
        <v>1440</v>
      </c>
      <c r="E268" s="25" t="s">
        <v>32</v>
      </c>
      <c r="F268" s="23" t="s">
        <v>30</v>
      </c>
      <c r="G268" s="23" t="s">
        <v>30</v>
      </c>
      <c r="H268" s="23" t="s">
        <v>30</v>
      </c>
      <c r="I268" s="92" t="str">
        <f t="shared" si="4"/>
        <v>N/A</v>
      </c>
      <c r="J268" s="16" t="s">
        <v>917</v>
      </c>
      <c r="K268" s="25">
        <v>2023</v>
      </c>
      <c r="L268" s="20" t="s">
        <v>518</v>
      </c>
      <c r="M268" s="32" t="s">
        <v>918</v>
      </c>
      <c r="N268" s="16" t="s">
        <v>520</v>
      </c>
      <c r="O268" s="18" t="s">
        <v>110</v>
      </c>
      <c r="P268" s="18" t="s">
        <v>37</v>
      </c>
      <c r="Q268" s="19" t="s">
        <v>28</v>
      </c>
    </row>
    <row r="269" spans="1:18" ht="30" customHeight="1">
      <c r="A269" s="15" t="s">
        <v>919</v>
      </c>
      <c r="B269" s="24">
        <v>252687</v>
      </c>
      <c r="C269" s="18" t="s">
        <v>516</v>
      </c>
      <c r="D269" s="16" t="s">
        <v>1440</v>
      </c>
      <c r="E269" s="25" t="s">
        <v>32</v>
      </c>
      <c r="F269" s="23" t="s">
        <v>30</v>
      </c>
      <c r="G269" s="23" t="s">
        <v>30</v>
      </c>
      <c r="H269" s="23" t="s">
        <v>30</v>
      </c>
      <c r="I269" s="92" t="str">
        <f t="shared" si="4"/>
        <v>N/A</v>
      </c>
      <c r="J269" s="16" t="s">
        <v>917</v>
      </c>
      <c r="K269" s="25">
        <v>2023</v>
      </c>
      <c r="L269" s="20" t="s">
        <v>518</v>
      </c>
      <c r="M269" s="32" t="s">
        <v>920</v>
      </c>
      <c r="N269" s="16" t="s">
        <v>520</v>
      </c>
      <c r="O269" s="18" t="s">
        <v>90</v>
      </c>
      <c r="P269" s="18" t="s">
        <v>37</v>
      </c>
      <c r="Q269" s="19" t="s">
        <v>28</v>
      </c>
    </row>
    <row r="270" spans="1:18" ht="30" customHeight="1">
      <c r="A270" s="15" t="s">
        <v>921</v>
      </c>
      <c r="B270" s="24">
        <v>252687</v>
      </c>
      <c r="C270" s="18" t="s">
        <v>516</v>
      </c>
      <c r="D270" s="16" t="s">
        <v>1440</v>
      </c>
      <c r="E270" s="25" t="s">
        <v>32</v>
      </c>
      <c r="F270" s="23" t="s">
        <v>30</v>
      </c>
      <c r="G270" s="22" t="s">
        <v>30</v>
      </c>
      <c r="H270" s="22" t="s">
        <v>30</v>
      </c>
      <c r="I270" s="92" t="str">
        <f t="shared" si="4"/>
        <v>N/A</v>
      </c>
      <c r="J270" s="16" t="s">
        <v>917</v>
      </c>
      <c r="K270" s="25">
        <v>2023</v>
      </c>
      <c r="L270" s="20" t="s">
        <v>518</v>
      </c>
      <c r="M270" s="32" t="s">
        <v>922</v>
      </c>
      <c r="N270" s="16" t="s">
        <v>520</v>
      </c>
      <c r="O270" s="18" t="s">
        <v>90</v>
      </c>
      <c r="P270" s="18" t="s">
        <v>37</v>
      </c>
      <c r="Q270" s="19" t="s">
        <v>28</v>
      </c>
    </row>
    <row r="271" spans="1:18" ht="30" customHeight="1">
      <c r="A271" s="15" t="s">
        <v>923</v>
      </c>
      <c r="B271" s="24">
        <v>252687</v>
      </c>
      <c r="C271" s="18" t="s">
        <v>516</v>
      </c>
      <c r="D271" s="16" t="s">
        <v>1440</v>
      </c>
      <c r="E271" s="25" t="s">
        <v>32</v>
      </c>
      <c r="F271" s="23" t="s">
        <v>30</v>
      </c>
      <c r="G271" s="22" t="s">
        <v>30</v>
      </c>
      <c r="H271" s="22" t="s">
        <v>30</v>
      </c>
      <c r="I271" s="92" t="str">
        <f t="shared" si="4"/>
        <v>N/A</v>
      </c>
      <c r="J271" s="16" t="s">
        <v>917</v>
      </c>
      <c r="K271" s="25">
        <v>2023</v>
      </c>
      <c r="L271" s="20" t="s">
        <v>518</v>
      </c>
      <c r="M271" s="32" t="s">
        <v>924</v>
      </c>
      <c r="N271" s="16" t="s">
        <v>520</v>
      </c>
      <c r="O271" s="18" t="s">
        <v>154</v>
      </c>
      <c r="P271" s="18" t="s">
        <v>37</v>
      </c>
      <c r="Q271" s="19" t="s">
        <v>28</v>
      </c>
    </row>
    <row r="272" spans="1:18" ht="30" customHeight="1">
      <c r="A272" s="15" t="s">
        <v>925</v>
      </c>
      <c r="B272" s="24">
        <v>252687</v>
      </c>
      <c r="C272" s="18" t="s">
        <v>516</v>
      </c>
      <c r="D272" s="16" t="s">
        <v>1440</v>
      </c>
      <c r="E272" s="25" t="s">
        <v>32</v>
      </c>
      <c r="F272" s="23" t="s">
        <v>30</v>
      </c>
      <c r="G272" s="22" t="s">
        <v>30</v>
      </c>
      <c r="H272" s="22" t="s">
        <v>30</v>
      </c>
      <c r="I272" s="92" t="str">
        <f t="shared" si="4"/>
        <v>N/A</v>
      </c>
      <c r="J272" s="16" t="s">
        <v>917</v>
      </c>
      <c r="K272" s="25">
        <v>2023</v>
      </c>
      <c r="L272" s="20" t="s">
        <v>518</v>
      </c>
      <c r="M272" s="32" t="s">
        <v>926</v>
      </c>
      <c r="N272" s="16" t="s">
        <v>520</v>
      </c>
      <c r="O272" s="18" t="s">
        <v>529</v>
      </c>
      <c r="P272" s="18" t="s">
        <v>37</v>
      </c>
      <c r="Q272" s="19" t="s">
        <v>28</v>
      </c>
    </row>
    <row r="273" spans="1:17" ht="30" customHeight="1">
      <c r="A273" s="15" t="s">
        <v>927</v>
      </c>
      <c r="B273" s="24">
        <v>227056</v>
      </c>
      <c r="C273" s="18" t="s">
        <v>66</v>
      </c>
      <c r="D273" s="16" t="s">
        <v>1440</v>
      </c>
      <c r="E273" s="25" t="s">
        <v>20</v>
      </c>
      <c r="F273" s="23" t="s">
        <v>85</v>
      </c>
      <c r="G273" s="22" t="s">
        <v>22</v>
      </c>
      <c r="H273" s="22">
        <v>12</v>
      </c>
      <c r="I273" s="92">
        <f t="shared" si="4"/>
        <v>45860</v>
      </c>
      <c r="J273" s="16" t="s">
        <v>928</v>
      </c>
      <c r="K273" s="16">
        <v>2023</v>
      </c>
      <c r="L273" s="16" t="s">
        <v>929</v>
      </c>
      <c r="M273" s="16">
        <v>28451</v>
      </c>
      <c r="N273" s="16" t="s">
        <v>930</v>
      </c>
      <c r="O273" s="16" t="s">
        <v>26</v>
      </c>
      <c r="P273" s="16" t="s">
        <v>27</v>
      </c>
      <c r="Q273" s="16" t="s">
        <v>28</v>
      </c>
    </row>
    <row r="274" spans="1:17" ht="30" customHeight="1">
      <c r="A274" s="15" t="s">
        <v>931</v>
      </c>
      <c r="B274" s="24" t="s">
        <v>794</v>
      </c>
      <c r="C274" s="18" t="s">
        <v>795</v>
      </c>
      <c r="D274" s="16" t="s">
        <v>1440</v>
      </c>
      <c r="E274" s="25" t="s">
        <v>20</v>
      </c>
      <c r="F274" s="91" t="s">
        <v>105</v>
      </c>
      <c r="G274" s="22" t="s">
        <v>22</v>
      </c>
      <c r="H274" s="22">
        <v>12</v>
      </c>
      <c r="I274" s="92">
        <f t="shared" si="4"/>
        <v>45862</v>
      </c>
      <c r="J274" s="16" t="s">
        <v>23</v>
      </c>
      <c r="K274" s="25">
        <v>2021</v>
      </c>
      <c r="L274" s="16" t="s">
        <v>796</v>
      </c>
      <c r="M274" s="16" t="s">
        <v>932</v>
      </c>
      <c r="N274" s="16" t="s">
        <v>797</v>
      </c>
      <c r="O274" s="16" t="s">
        <v>26</v>
      </c>
      <c r="P274" s="16" t="s">
        <v>27</v>
      </c>
      <c r="Q274" s="16" t="s">
        <v>28</v>
      </c>
    </row>
    <row r="275" spans="1:17" ht="30" customHeight="1">
      <c r="A275" s="15" t="s">
        <v>933</v>
      </c>
      <c r="B275" s="24" t="s">
        <v>934</v>
      </c>
      <c r="C275" s="18" t="s">
        <v>31</v>
      </c>
      <c r="D275" s="16" t="s">
        <v>1440</v>
      </c>
      <c r="E275" s="25" t="s">
        <v>20</v>
      </c>
      <c r="F275" s="23" t="s">
        <v>30</v>
      </c>
      <c r="G275" s="22" t="s">
        <v>30</v>
      </c>
      <c r="H275" s="22" t="s">
        <v>30</v>
      </c>
      <c r="I275" s="92" t="str">
        <f t="shared" si="4"/>
        <v>N/A</v>
      </c>
      <c r="J275" s="16" t="s">
        <v>33</v>
      </c>
      <c r="K275" s="16">
        <v>2017</v>
      </c>
      <c r="L275" s="16" t="s">
        <v>34</v>
      </c>
      <c r="M275" s="16" t="s">
        <v>935</v>
      </c>
      <c r="N275" s="16" t="s">
        <v>36</v>
      </c>
      <c r="O275" s="16" t="s">
        <v>26</v>
      </c>
      <c r="P275" s="16" t="s">
        <v>27</v>
      </c>
      <c r="Q275" s="16" t="s">
        <v>28</v>
      </c>
    </row>
    <row r="276" spans="1:17" ht="30" customHeight="1">
      <c r="A276" s="15" t="s">
        <v>936</v>
      </c>
      <c r="B276" s="24" t="s">
        <v>934</v>
      </c>
      <c r="C276" s="18" t="s">
        <v>221</v>
      </c>
      <c r="D276" s="16" t="s">
        <v>1440</v>
      </c>
      <c r="E276" s="25" t="s">
        <v>20</v>
      </c>
      <c r="F276" s="23" t="s">
        <v>105</v>
      </c>
      <c r="G276" s="22" t="s">
        <v>22</v>
      </c>
      <c r="H276" s="22">
        <v>12</v>
      </c>
      <c r="I276" s="92">
        <f t="shared" si="4"/>
        <v>45862</v>
      </c>
      <c r="J276" s="16" t="s">
        <v>23</v>
      </c>
      <c r="K276" s="16">
        <v>2017</v>
      </c>
      <c r="L276" s="16" t="s">
        <v>937</v>
      </c>
      <c r="M276" s="16">
        <v>101237</v>
      </c>
      <c r="N276" s="16" t="s">
        <v>938</v>
      </c>
      <c r="O276" s="16" t="s">
        <v>939</v>
      </c>
      <c r="P276" s="16" t="s">
        <v>27</v>
      </c>
      <c r="Q276" s="16" t="s">
        <v>28</v>
      </c>
    </row>
    <row r="277" spans="1:17" ht="30" customHeight="1">
      <c r="A277" s="15" t="s">
        <v>940</v>
      </c>
      <c r="B277" s="24" t="s">
        <v>941</v>
      </c>
      <c r="C277" s="18" t="s">
        <v>221</v>
      </c>
      <c r="D277" s="16" t="s">
        <v>1440</v>
      </c>
      <c r="E277" s="25" t="s">
        <v>20</v>
      </c>
      <c r="F277" s="23" t="s">
        <v>383</v>
      </c>
      <c r="G277" s="22" t="s">
        <v>22</v>
      </c>
      <c r="H277" s="22">
        <v>12</v>
      </c>
      <c r="I277" s="92">
        <f t="shared" si="4"/>
        <v>46024</v>
      </c>
      <c r="J277" s="16" t="s">
        <v>23</v>
      </c>
      <c r="K277" s="16">
        <v>2017</v>
      </c>
      <c r="L277" s="16" t="s">
        <v>942</v>
      </c>
      <c r="M277" s="16">
        <v>104089</v>
      </c>
      <c r="N277" s="16" t="s">
        <v>943</v>
      </c>
      <c r="O277" s="16" t="s">
        <v>944</v>
      </c>
      <c r="P277" s="16" t="s">
        <v>27</v>
      </c>
      <c r="Q277" s="16" t="s">
        <v>28</v>
      </c>
    </row>
    <row r="278" spans="1:17" ht="30" customHeight="1">
      <c r="A278" s="15" t="s">
        <v>945</v>
      </c>
      <c r="B278" s="24" t="s">
        <v>946</v>
      </c>
      <c r="C278" s="18" t="s">
        <v>256</v>
      </c>
      <c r="D278" s="16" t="s">
        <v>1440</v>
      </c>
      <c r="E278" s="25" t="s">
        <v>20</v>
      </c>
      <c r="F278" s="23" t="s">
        <v>105</v>
      </c>
      <c r="G278" s="22" t="s">
        <v>22</v>
      </c>
      <c r="H278" s="22">
        <v>12</v>
      </c>
      <c r="I278" s="92">
        <f t="shared" si="4"/>
        <v>45862</v>
      </c>
      <c r="J278" s="16" t="s">
        <v>23</v>
      </c>
      <c r="K278" s="16">
        <v>2017</v>
      </c>
      <c r="L278" s="16" t="s">
        <v>947</v>
      </c>
      <c r="M278" s="16">
        <v>180032</v>
      </c>
      <c r="N278" s="16" t="s">
        <v>948</v>
      </c>
      <c r="O278" s="16" t="s">
        <v>939</v>
      </c>
      <c r="P278" s="16" t="s">
        <v>27</v>
      </c>
      <c r="Q278" s="16" t="s">
        <v>28</v>
      </c>
    </row>
    <row r="279" spans="1:17" ht="30" customHeight="1">
      <c r="A279" s="15" t="s">
        <v>949</v>
      </c>
      <c r="B279" s="24" t="s">
        <v>950</v>
      </c>
      <c r="C279" s="18" t="s">
        <v>256</v>
      </c>
      <c r="D279" s="16" t="s">
        <v>1440</v>
      </c>
      <c r="E279" s="25" t="s">
        <v>20</v>
      </c>
      <c r="F279" s="23" t="s">
        <v>105</v>
      </c>
      <c r="G279" s="22" t="s">
        <v>22</v>
      </c>
      <c r="H279" s="22">
        <v>12</v>
      </c>
      <c r="I279" s="92">
        <f t="shared" si="4"/>
        <v>45862</v>
      </c>
      <c r="J279" s="16" t="s">
        <v>23</v>
      </c>
      <c r="K279" s="16">
        <v>2017</v>
      </c>
      <c r="L279" s="16" t="s">
        <v>951</v>
      </c>
      <c r="M279" s="16">
        <v>262409</v>
      </c>
      <c r="N279" s="16" t="s">
        <v>952</v>
      </c>
      <c r="O279" s="16" t="s">
        <v>939</v>
      </c>
      <c r="P279" s="16" t="s">
        <v>27</v>
      </c>
      <c r="Q279" s="16" t="s">
        <v>28</v>
      </c>
    </row>
    <row r="280" spans="1:17" ht="30" customHeight="1">
      <c r="A280" s="15" t="s">
        <v>953</v>
      </c>
      <c r="B280" s="24" t="s">
        <v>954</v>
      </c>
      <c r="C280" s="18" t="s">
        <v>955</v>
      </c>
      <c r="D280" s="16" t="s">
        <v>1440</v>
      </c>
      <c r="E280" s="25" t="s">
        <v>20</v>
      </c>
      <c r="F280" s="23" t="s">
        <v>383</v>
      </c>
      <c r="G280" s="22" t="s">
        <v>22</v>
      </c>
      <c r="H280" s="22">
        <v>12</v>
      </c>
      <c r="I280" s="92">
        <f t="shared" si="4"/>
        <v>46024</v>
      </c>
      <c r="J280" s="16" t="s">
        <v>23</v>
      </c>
      <c r="K280" s="16">
        <v>2017</v>
      </c>
      <c r="L280" s="16" t="s">
        <v>956</v>
      </c>
      <c r="M280" s="16">
        <v>101740</v>
      </c>
      <c r="N280" s="16" t="s">
        <v>957</v>
      </c>
      <c r="O280" s="16" t="s">
        <v>939</v>
      </c>
      <c r="P280" s="16" t="s">
        <v>27</v>
      </c>
      <c r="Q280" s="16" t="s">
        <v>28</v>
      </c>
    </row>
    <row r="281" spans="1:17" ht="30" customHeight="1">
      <c r="A281" s="15" t="s">
        <v>958</v>
      </c>
      <c r="B281" s="24" t="s">
        <v>959</v>
      </c>
      <c r="C281" s="18" t="s">
        <v>246</v>
      </c>
      <c r="D281" s="16" t="s">
        <v>1440</v>
      </c>
      <c r="E281" s="25" t="s">
        <v>20</v>
      </c>
      <c r="F281" s="23" t="s">
        <v>21</v>
      </c>
      <c r="G281" s="22" t="s">
        <v>22</v>
      </c>
      <c r="H281" s="22">
        <v>12</v>
      </c>
      <c r="I281" s="92">
        <f t="shared" si="4"/>
        <v>45861</v>
      </c>
      <c r="J281" s="16" t="s">
        <v>247</v>
      </c>
      <c r="K281" s="16">
        <v>2017</v>
      </c>
      <c r="L281" s="16" t="s">
        <v>960</v>
      </c>
      <c r="M281" s="16">
        <v>15011850</v>
      </c>
      <c r="N281" s="16" t="s">
        <v>961</v>
      </c>
      <c r="O281" s="16" t="s">
        <v>939</v>
      </c>
      <c r="P281" s="16" t="s">
        <v>27</v>
      </c>
      <c r="Q281" s="16" t="s">
        <v>28</v>
      </c>
    </row>
    <row r="282" spans="1:17" ht="30" customHeight="1">
      <c r="A282" s="15" t="s">
        <v>962</v>
      </c>
      <c r="B282" s="24" t="s">
        <v>963</v>
      </c>
      <c r="C282" s="18" t="s">
        <v>964</v>
      </c>
      <c r="D282" s="16" t="s">
        <v>1440</v>
      </c>
      <c r="E282" s="25" t="s">
        <v>20</v>
      </c>
      <c r="F282" s="23" t="s">
        <v>21</v>
      </c>
      <c r="G282" s="22" t="s">
        <v>22</v>
      </c>
      <c r="H282" s="22">
        <v>12</v>
      </c>
      <c r="I282" s="92">
        <f t="shared" si="4"/>
        <v>45861</v>
      </c>
      <c r="J282" s="16" t="s">
        <v>23</v>
      </c>
      <c r="K282" s="16">
        <v>2017</v>
      </c>
      <c r="L282" s="16" t="s">
        <v>965</v>
      </c>
      <c r="M282" s="16">
        <v>100982</v>
      </c>
      <c r="N282" s="16" t="s">
        <v>966</v>
      </c>
      <c r="O282" s="16" t="s">
        <v>939</v>
      </c>
      <c r="P282" s="16" t="s">
        <v>27</v>
      </c>
      <c r="Q282" s="16" t="s">
        <v>28</v>
      </c>
    </row>
    <row r="283" spans="1:17" ht="30" customHeight="1">
      <c r="A283" s="15" t="s">
        <v>967</v>
      </c>
      <c r="B283" s="24" t="s">
        <v>30</v>
      </c>
      <c r="C283" s="18" t="s">
        <v>968</v>
      </c>
      <c r="D283" s="16" t="s">
        <v>1440</v>
      </c>
      <c r="E283" s="25" t="s">
        <v>20</v>
      </c>
      <c r="F283" s="23" t="s">
        <v>105</v>
      </c>
      <c r="G283" s="22" t="s">
        <v>22</v>
      </c>
      <c r="H283" s="22">
        <v>12</v>
      </c>
      <c r="I283" s="92">
        <f t="shared" si="4"/>
        <v>45862</v>
      </c>
      <c r="J283" s="16" t="s">
        <v>234</v>
      </c>
      <c r="K283" s="16">
        <v>2017</v>
      </c>
      <c r="L283" s="16">
        <v>1580</v>
      </c>
      <c r="M283" s="16" t="s">
        <v>969</v>
      </c>
      <c r="N283" s="16" t="s">
        <v>970</v>
      </c>
      <c r="O283" s="16" t="s">
        <v>939</v>
      </c>
      <c r="P283" s="16" t="s">
        <v>27</v>
      </c>
      <c r="Q283" s="16" t="s">
        <v>28</v>
      </c>
    </row>
    <row r="284" spans="1:17" ht="30" customHeight="1">
      <c r="A284" s="15" t="s">
        <v>971</v>
      </c>
      <c r="B284" s="24" t="s">
        <v>30</v>
      </c>
      <c r="C284" s="18" t="s">
        <v>972</v>
      </c>
      <c r="D284" s="16" t="s">
        <v>1440</v>
      </c>
      <c r="E284" s="25" t="s">
        <v>20</v>
      </c>
      <c r="F284" s="23" t="s">
        <v>21</v>
      </c>
      <c r="G284" s="22" t="s">
        <v>22</v>
      </c>
      <c r="H284" s="22">
        <v>12</v>
      </c>
      <c r="I284" s="92">
        <f t="shared" si="4"/>
        <v>45861</v>
      </c>
      <c r="J284" s="16" t="s">
        <v>234</v>
      </c>
      <c r="K284" s="16">
        <v>2017</v>
      </c>
      <c r="L284" s="16" t="s">
        <v>973</v>
      </c>
      <c r="M284" s="16">
        <v>74560</v>
      </c>
      <c r="N284" s="16" t="s">
        <v>974</v>
      </c>
      <c r="O284" s="16" t="s">
        <v>939</v>
      </c>
      <c r="P284" s="16" t="s">
        <v>27</v>
      </c>
      <c r="Q284" s="16" t="s">
        <v>28</v>
      </c>
    </row>
    <row r="285" spans="1:17" ht="30" customHeight="1">
      <c r="A285" s="15" t="s">
        <v>975</v>
      </c>
      <c r="B285" s="24" t="s">
        <v>30</v>
      </c>
      <c r="C285" s="18" t="s">
        <v>972</v>
      </c>
      <c r="D285" s="16" t="s">
        <v>1440</v>
      </c>
      <c r="E285" s="25" t="s">
        <v>20</v>
      </c>
      <c r="F285" s="23" t="s">
        <v>21</v>
      </c>
      <c r="G285" s="22" t="s">
        <v>22</v>
      </c>
      <c r="H285" s="22">
        <v>12</v>
      </c>
      <c r="I285" s="92">
        <f t="shared" si="4"/>
        <v>45861</v>
      </c>
      <c r="J285" s="16" t="s">
        <v>23</v>
      </c>
      <c r="K285" s="16">
        <v>2017</v>
      </c>
      <c r="L285" s="16" t="s">
        <v>976</v>
      </c>
      <c r="M285" s="16" t="s">
        <v>977</v>
      </c>
      <c r="N285" s="16" t="s">
        <v>978</v>
      </c>
      <c r="O285" s="16" t="s">
        <v>939</v>
      </c>
      <c r="P285" s="16" t="s">
        <v>27</v>
      </c>
      <c r="Q285" s="16" t="s">
        <v>28</v>
      </c>
    </row>
    <row r="286" spans="1:17" ht="30" customHeight="1">
      <c r="A286" s="15" t="s">
        <v>979</v>
      </c>
      <c r="B286" s="24" t="s">
        <v>30</v>
      </c>
      <c r="C286" s="18" t="s">
        <v>972</v>
      </c>
      <c r="D286" s="16" t="s">
        <v>1440</v>
      </c>
      <c r="E286" s="25" t="s">
        <v>20</v>
      </c>
      <c r="F286" s="23" t="s">
        <v>21</v>
      </c>
      <c r="G286" s="22" t="s">
        <v>22</v>
      </c>
      <c r="H286" s="22">
        <v>12</v>
      </c>
      <c r="I286" s="92">
        <f t="shared" si="4"/>
        <v>45861</v>
      </c>
      <c r="J286" s="16" t="s">
        <v>23</v>
      </c>
      <c r="K286" s="16">
        <v>2017</v>
      </c>
      <c r="L286" s="16" t="s">
        <v>976</v>
      </c>
      <c r="M286" s="16" t="s">
        <v>977</v>
      </c>
      <c r="N286" s="16" t="s">
        <v>978</v>
      </c>
      <c r="O286" s="16" t="s">
        <v>939</v>
      </c>
      <c r="P286" s="16" t="s">
        <v>27</v>
      </c>
      <c r="Q286" s="16" t="s">
        <v>28</v>
      </c>
    </row>
    <row r="287" spans="1:17" ht="30" customHeight="1">
      <c r="A287" s="15" t="s">
        <v>980</v>
      </c>
      <c r="B287" s="24" t="s">
        <v>30</v>
      </c>
      <c r="C287" s="18" t="s">
        <v>972</v>
      </c>
      <c r="D287" s="16" t="s">
        <v>1440</v>
      </c>
      <c r="E287" s="25" t="s">
        <v>20</v>
      </c>
      <c r="F287" s="91" t="s">
        <v>21</v>
      </c>
      <c r="G287" s="22" t="s">
        <v>22</v>
      </c>
      <c r="H287" s="22">
        <v>12</v>
      </c>
      <c r="I287" s="92">
        <f t="shared" si="4"/>
        <v>45861</v>
      </c>
      <c r="J287" s="16" t="s">
        <v>23</v>
      </c>
      <c r="K287" s="16">
        <v>2017</v>
      </c>
      <c r="L287" s="16" t="s">
        <v>976</v>
      </c>
      <c r="M287" s="16" t="s">
        <v>977</v>
      </c>
      <c r="N287" s="16" t="s">
        <v>978</v>
      </c>
      <c r="O287" s="16" t="s">
        <v>939</v>
      </c>
      <c r="P287" s="16" t="s">
        <v>27</v>
      </c>
      <c r="Q287" s="16" t="s">
        <v>28</v>
      </c>
    </row>
    <row r="288" spans="1:17" ht="30" customHeight="1">
      <c r="A288" s="15" t="s">
        <v>981</v>
      </c>
      <c r="B288" s="24" t="s">
        <v>30</v>
      </c>
      <c r="C288" s="18" t="s">
        <v>972</v>
      </c>
      <c r="D288" s="16" t="s">
        <v>1440</v>
      </c>
      <c r="E288" s="25" t="s">
        <v>20</v>
      </c>
      <c r="F288" s="91" t="s">
        <v>21</v>
      </c>
      <c r="G288" s="22" t="s">
        <v>22</v>
      </c>
      <c r="H288" s="22">
        <v>12</v>
      </c>
      <c r="I288" s="92">
        <f t="shared" si="4"/>
        <v>45861</v>
      </c>
      <c r="J288" s="16" t="s">
        <v>23</v>
      </c>
      <c r="K288" s="16">
        <v>2017</v>
      </c>
      <c r="L288" s="16" t="s">
        <v>976</v>
      </c>
      <c r="M288" s="16" t="s">
        <v>977</v>
      </c>
      <c r="N288" s="16" t="s">
        <v>978</v>
      </c>
      <c r="O288" s="16" t="s">
        <v>939</v>
      </c>
      <c r="P288" s="16" t="s">
        <v>27</v>
      </c>
      <c r="Q288" s="16" t="s">
        <v>28</v>
      </c>
    </row>
    <row r="289" spans="1:20" ht="30" customHeight="1">
      <c r="A289" s="15" t="s">
        <v>982</v>
      </c>
      <c r="B289" s="24" t="s">
        <v>983</v>
      </c>
      <c r="C289" s="18" t="s">
        <v>984</v>
      </c>
      <c r="D289" s="16" t="s">
        <v>1440</v>
      </c>
      <c r="E289" s="25" t="s">
        <v>20</v>
      </c>
      <c r="F289" s="91">
        <v>45140</v>
      </c>
      <c r="G289" s="22" t="s">
        <v>22</v>
      </c>
      <c r="H289" s="22">
        <v>24</v>
      </c>
      <c r="I289" s="92">
        <f t="shared" si="4"/>
        <v>45871</v>
      </c>
      <c r="J289" s="16" t="s">
        <v>48</v>
      </c>
      <c r="K289" s="16">
        <v>2017</v>
      </c>
      <c r="L289" s="16" t="s">
        <v>49</v>
      </c>
      <c r="M289" s="16" t="s">
        <v>985</v>
      </c>
      <c r="N289" s="16" t="s">
        <v>986</v>
      </c>
      <c r="O289" s="16" t="s">
        <v>944</v>
      </c>
      <c r="P289" s="16" t="s">
        <v>27</v>
      </c>
      <c r="Q289" s="16" t="s">
        <v>28</v>
      </c>
    </row>
    <row r="290" spans="1:20" ht="30" customHeight="1">
      <c r="A290" s="15" t="s">
        <v>987</v>
      </c>
      <c r="B290" s="24" t="s">
        <v>988</v>
      </c>
      <c r="C290" s="18" t="s">
        <v>54</v>
      </c>
      <c r="D290" s="16" t="s">
        <v>1440</v>
      </c>
      <c r="E290" s="25" t="s">
        <v>20</v>
      </c>
      <c r="F290" s="91">
        <v>45660</v>
      </c>
      <c r="G290" s="22" t="s">
        <v>22</v>
      </c>
      <c r="H290" s="22">
        <v>24</v>
      </c>
      <c r="I290" s="92">
        <f t="shared" si="4"/>
        <v>46390</v>
      </c>
      <c r="J290" s="16" t="s">
        <v>48</v>
      </c>
      <c r="K290" s="16">
        <v>2017</v>
      </c>
      <c r="L290" s="16" t="s">
        <v>989</v>
      </c>
      <c r="M290" s="16">
        <v>1609</v>
      </c>
      <c r="N290" s="16" t="s">
        <v>990</v>
      </c>
      <c r="O290" s="16" t="s">
        <v>944</v>
      </c>
      <c r="P290" s="16" t="s">
        <v>27</v>
      </c>
      <c r="Q290" s="16" t="s">
        <v>28</v>
      </c>
    </row>
    <row r="291" spans="1:20" ht="30" customHeight="1">
      <c r="A291" s="15" t="s">
        <v>991</v>
      </c>
      <c r="B291" s="24" t="s">
        <v>992</v>
      </c>
      <c r="C291" s="18" t="s">
        <v>993</v>
      </c>
      <c r="D291" s="16" t="s">
        <v>1440</v>
      </c>
      <c r="E291" s="25" t="s">
        <v>20</v>
      </c>
      <c r="F291" s="91">
        <v>45650</v>
      </c>
      <c r="G291" s="22" t="s">
        <v>22</v>
      </c>
      <c r="H291" s="22">
        <v>24</v>
      </c>
      <c r="I291" s="92">
        <f t="shared" si="4"/>
        <v>46380</v>
      </c>
      <c r="J291" s="16" t="s">
        <v>48</v>
      </c>
      <c r="K291" s="16">
        <v>2017</v>
      </c>
      <c r="L291" s="16" t="s">
        <v>994</v>
      </c>
      <c r="M291" s="16" t="s">
        <v>995</v>
      </c>
      <c r="N291" s="16" t="s">
        <v>996</v>
      </c>
      <c r="O291" s="16" t="s">
        <v>944</v>
      </c>
      <c r="P291" s="16" t="s">
        <v>27</v>
      </c>
      <c r="Q291" s="16" t="s">
        <v>28</v>
      </c>
    </row>
    <row r="292" spans="1:20" ht="30" customHeight="1">
      <c r="A292" s="15" t="s">
        <v>997</v>
      </c>
      <c r="B292" s="24" t="s">
        <v>998</v>
      </c>
      <c r="C292" s="18" t="s">
        <v>54</v>
      </c>
      <c r="D292" s="16" t="s">
        <v>1440</v>
      </c>
      <c r="E292" s="25" t="s">
        <v>20</v>
      </c>
      <c r="F292" s="91">
        <v>45660</v>
      </c>
      <c r="G292" s="22" t="s">
        <v>22</v>
      </c>
      <c r="H292" s="22">
        <v>24</v>
      </c>
      <c r="I292" s="92">
        <f t="shared" si="4"/>
        <v>46390</v>
      </c>
      <c r="J292" s="16" t="s">
        <v>48</v>
      </c>
      <c r="K292" s="16">
        <v>2017</v>
      </c>
      <c r="L292" s="16" t="s">
        <v>989</v>
      </c>
      <c r="M292" s="16">
        <v>1628</v>
      </c>
      <c r="N292" s="16" t="s">
        <v>990</v>
      </c>
      <c r="O292" s="16" t="s">
        <v>944</v>
      </c>
      <c r="P292" s="16" t="s">
        <v>27</v>
      </c>
      <c r="Q292" s="16" t="s">
        <v>28</v>
      </c>
    </row>
    <row r="293" spans="1:20" ht="30" customHeight="1">
      <c r="A293" s="15" t="s">
        <v>999</v>
      </c>
      <c r="B293" s="24" t="s">
        <v>1000</v>
      </c>
      <c r="C293" s="18" t="s">
        <v>66</v>
      </c>
      <c r="D293" s="16" t="s">
        <v>1440</v>
      </c>
      <c r="E293" s="25" t="s">
        <v>20</v>
      </c>
      <c r="F293" s="91" t="s">
        <v>126</v>
      </c>
      <c r="G293" s="22" t="s">
        <v>22</v>
      </c>
      <c r="H293" s="22">
        <v>12</v>
      </c>
      <c r="I293" s="92">
        <f t="shared" si="4"/>
        <v>45863</v>
      </c>
      <c r="J293" s="16" t="s">
        <v>23</v>
      </c>
      <c r="K293" s="16">
        <v>2017</v>
      </c>
      <c r="L293" s="16" t="s">
        <v>1001</v>
      </c>
      <c r="M293" s="16">
        <v>180009</v>
      </c>
      <c r="N293" s="82" t="s">
        <v>1002</v>
      </c>
      <c r="O293" s="16" t="s">
        <v>944</v>
      </c>
      <c r="P293" s="16" t="s">
        <v>27</v>
      </c>
      <c r="Q293" s="16" t="s">
        <v>28</v>
      </c>
    </row>
    <row r="294" spans="1:20" ht="30" customHeight="1">
      <c r="A294" s="15" t="s">
        <v>1003</v>
      </c>
      <c r="B294" s="24" t="s">
        <v>1004</v>
      </c>
      <c r="C294" s="18" t="s">
        <v>66</v>
      </c>
      <c r="D294" s="16" t="s">
        <v>1440</v>
      </c>
      <c r="E294" s="25" t="s">
        <v>20</v>
      </c>
      <c r="F294" s="91" t="s">
        <v>126</v>
      </c>
      <c r="G294" s="22" t="s">
        <v>22</v>
      </c>
      <c r="H294" s="22">
        <v>12</v>
      </c>
      <c r="I294" s="92">
        <f t="shared" si="4"/>
        <v>45863</v>
      </c>
      <c r="J294" s="16" t="s">
        <v>23</v>
      </c>
      <c r="K294" s="16">
        <v>2017</v>
      </c>
      <c r="L294" s="16" t="s">
        <v>1005</v>
      </c>
      <c r="M294" s="16">
        <v>1984520</v>
      </c>
      <c r="N294" s="82" t="s">
        <v>1006</v>
      </c>
      <c r="O294" s="16" t="s">
        <v>944</v>
      </c>
      <c r="P294" s="16" t="s">
        <v>27</v>
      </c>
      <c r="Q294" s="16" t="s">
        <v>28</v>
      </c>
    </row>
    <row r="295" spans="1:20" ht="30" customHeight="1">
      <c r="A295" s="15" t="s">
        <v>1007</v>
      </c>
      <c r="B295" s="24" t="s">
        <v>1008</v>
      </c>
      <c r="C295" s="18" t="s">
        <v>66</v>
      </c>
      <c r="D295" s="16" t="s">
        <v>1440</v>
      </c>
      <c r="E295" s="25" t="s">
        <v>20</v>
      </c>
      <c r="F295" s="91" t="s">
        <v>126</v>
      </c>
      <c r="G295" s="22" t="s">
        <v>22</v>
      </c>
      <c r="H295" s="22">
        <v>12</v>
      </c>
      <c r="I295" s="92">
        <f t="shared" si="4"/>
        <v>45863</v>
      </c>
      <c r="J295" s="16" t="s">
        <v>23</v>
      </c>
      <c r="K295" s="16">
        <v>2017</v>
      </c>
      <c r="L295" s="16" t="s">
        <v>1009</v>
      </c>
      <c r="M295" s="16">
        <v>1952065</v>
      </c>
      <c r="N295" s="16" t="s">
        <v>1010</v>
      </c>
      <c r="O295" s="16" t="s">
        <v>944</v>
      </c>
      <c r="P295" s="16" t="s">
        <v>27</v>
      </c>
      <c r="Q295" s="16" t="s">
        <v>28</v>
      </c>
    </row>
    <row r="296" spans="1:20" ht="30" customHeight="1">
      <c r="A296" s="15" t="s">
        <v>1011</v>
      </c>
      <c r="B296" s="24" t="s">
        <v>30</v>
      </c>
      <c r="C296" s="18" t="s">
        <v>130</v>
      </c>
      <c r="D296" s="16" t="s">
        <v>1440</v>
      </c>
      <c r="E296" s="25" t="s">
        <v>20</v>
      </c>
      <c r="F296" s="91" t="s">
        <v>21</v>
      </c>
      <c r="G296" s="22" t="s">
        <v>22</v>
      </c>
      <c r="H296" s="22">
        <v>12</v>
      </c>
      <c r="I296" s="92">
        <f t="shared" si="4"/>
        <v>45861</v>
      </c>
      <c r="J296" s="16" t="s">
        <v>131</v>
      </c>
      <c r="K296" s="16">
        <v>2017</v>
      </c>
      <c r="L296" s="16" t="s">
        <v>132</v>
      </c>
      <c r="M296" s="16" t="s">
        <v>1012</v>
      </c>
      <c r="N296" s="16" t="s">
        <v>134</v>
      </c>
      <c r="O296" s="16" t="s">
        <v>944</v>
      </c>
      <c r="P296" s="16" t="s">
        <v>27</v>
      </c>
      <c r="Q296" s="16" t="s">
        <v>28</v>
      </c>
    </row>
    <row r="297" spans="1:20" ht="30" customHeight="1">
      <c r="A297" s="15" t="s">
        <v>1013</v>
      </c>
      <c r="B297" s="24" t="s">
        <v>1014</v>
      </c>
      <c r="C297" s="18" t="s">
        <v>54</v>
      </c>
      <c r="D297" s="16" t="s">
        <v>1440</v>
      </c>
      <c r="E297" s="25" t="s">
        <v>20</v>
      </c>
      <c r="F297" s="91" t="s">
        <v>589</v>
      </c>
      <c r="G297" s="22" t="s">
        <v>22</v>
      </c>
      <c r="H297" s="22">
        <v>24</v>
      </c>
      <c r="I297" s="92">
        <f t="shared" si="4"/>
        <v>46390</v>
      </c>
      <c r="J297" s="16" t="s">
        <v>1015</v>
      </c>
      <c r="K297" s="16">
        <v>2017</v>
      </c>
      <c r="L297" s="16" t="s">
        <v>1016</v>
      </c>
      <c r="M297" s="16">
        <v>17499</v>
      </c>
      <c r="N297" s="16" t="s">
        <v>1017</v>
      </c>
      <c r="O297" s="16" t="s">
        <v>944</v>
      </c>
      <c r="P297" s="16" t="s">
        <v>27</v>
      </c>
      <c r="Q297" s="16" t="s">
        <v>28</v>
      </c>
    </row>
    <row r="298" spans="1:20" ht="30" customHeight="1">
      <c r="A298" s="15" t="s">
        <v>1018</v>
      </c>
      <c r="B298" s="24" t="s">
        <v>1019</v>
      </c>
      <c r="C298" s="18" t="s">
        <v>54</v>
      </c>
      <c r="D298" s="16" t="s">
        <v>1440</v>
      </c>
      <c r="E298" s="25" t="s">
        <v>20</v>
      </c>
      <c r="F298" s="23" t="s">
        <v>589</v>
      </c>
      <c r="G298" s="22" t="s">
        <v>22</v>
      </c>
      <c r="H298" s="22">
        <v>24</v>
      </c>
      <c r="I298" s="92">
        <f t="shared" si="4"/>
        <v>46390</v>
      </c>
      <c r="J298" s="16" t="s">
        <v>1015</v>
      </c>
      <c r="K298" s="16">
        <v>2017</v>
      </c>
      <c r="L298" s="16" t="s">
        <v>1020</v>
      </c>
      <c r="M298" s="16">
        <v>17500</v>
      </c>
      <c r="N298" s="16" t="s">
        <v>1021</v>
      </c>
      <c r="O298" s="16" t="s">
        <v>944</v>
      </c>
      <c r="P298" s="16" t="s">
        <v>27</v>
      </c>
      <c r="Q298" s="16" t="s">
        <v>28</v>
      </c>
    </row>
    <row r="299" spans="1:20" ht="30" customHeight="1">
      <c r="A299" s="15" t="s">
        <v>1022</v>
      </c>
      <c r="B299" s="24" t="s">
        <v>1023</v>
      </c>
      <c r="C299" s="18" t="s">
        <v>54</v>
      </c>
      <c r="D299" s="16" t="s">
        <v>1440</v>
      </c>
      <c r="E299" s="25" t="s">
        <v>20</v>
      </c>
      <c r="F299" s="23" t="s">
        <v>589</v>
      </c>
      <c r="G299" s="22" t="s">
        <v>22</v>
      </c>
      <c r="H299" s="22">
        <v>24</v>
      </c>
      <c r="I299" s="92">
        <f t="shared" si="4"/>
        <v>46390</v>
      </c>
      <c r="J299" s="16" t="s">
        <v>1015</v>
      </c>
      <c r="K299" s="16">
        <v>2017</v>
      </c>
      <c r="L299" s="16" t="s">
        <v>1024</v>
      </c>
      <c r="M299" s="16">
        <v>17501</v>
      </c>
      <c r="N299" s="16" t="s">
        <v>1025</v>
      </c>
      <c r="O299" s="16" t="s">
        <v>944</v>
      </c>
      <c r="P299" s="16" t="s">
        <v>27</v>
      </c>
      <c r="Q299" s="16" t="s">
        <v>28</v>
      </c>
    </row>
    <row r="300" spans="1:20" ht="30" customHeight="1">
      <c r="A300" s="15" t="s">
        <v>1026</v>
      </c>
      <c r="B300" s="24" t="s">
        <v>1027</v>
      </c>
      <c r="C300" s="18" t="s">
        <v>54</v>
      </c>
      <c r="D300" s="16" t="s">
        <v>1440</v>
      </c>
      <c r="E300" s="25" t="s">
        <v>20</v>
      </c>
      <c r="F300" s="23" t="s">
        <v>589</v>
      </c>
      <c r="G300" s="22" t="s">
        <v>22</v>
      </c>
      <c r="H300" s="22">
        <v>24</v>
      </c>
      <c r="I300" s="92">
        <f t="shared" si="4"/>
        <v>46390</v>
      </c>
      <c r="J300" s="16" t="s">
        <v>1015</v>
      </c>
      <c r="K300" s="16">
        <v>2017</v>
      </c>
      <c r="L300" s="16" t="s">
        <v>1016</v>
      </c>
      <c r="M300" s="16">
        <v>17502</v>
      </c>
      <c r="N300" s="16" t="s">
        <v>1017</v>
      </c>
      <c r="O300" s="16" t="s">
        <v>944</v>
      </c>
      <c r="P300" s="16" t="s">
        <v>27</v>
      </c>
      <c r="Q300" s="16" t="s">
        <v>28</v>
      </c>
    </row>
    <row r="301" spans="1:20" ht="30" customHeight="1">
      <c r="A301" s="15" t="s">
        <v>1028</v>
      </c>
      <c r="B301" s="24" t="s">
        <v>1029</v>
      </c>
      <c r="C301" s="18" t="s">
        <v>54</v>
      </c>
      <c r="D301" s="16" t="s">
        <v>1440</v>
      </c>
      <c r="E301" s="25" t="s">
        <v>20</v>
      </c>
      <c r="F301" s="23" t="s">
        <v>589</v>
      </c>
      <c r="G301" s="22" t="s">
        <v>22</v>
      </c>
      <c r="H301" s="22">
        <v>24</v>
      </c>
      <c r="I301" s="92">
        <f t="shared" si="4"/>
        <v>46390</v>
      </c>
      <c r="J301" s="16" t="s">
        <v>1015</v>
      </c>
      <c r="K301" s="16">
        <v>2017</v>
      </c>
      <c r="L301" s="16" t="s">
        <v>1020</v>
      </c>
      <c r="M301" s="16">
        <v>17503</v>
      </c>
      <c r="N301" s="16" t="s">
        <v>1021</v>
      </c>
      <c r="O301" s="16" t="s">
        <v>944</v>
      </c>
      <c r="P301" s="16" t="s">
        <v>27</v>
      </c>
      <c r="Q301" s="16" t="s">
        <v>28</v>
      </c>
    </row>
    <row r="302" spans="1:20" ht="30" customHeight="1">
      <c r="A302" s="15" t="s">
        <v>1030</v>
      </c>
      <c r="B302" s="24" t="s">
        <v>1031</v>
      </c>
      <c r="C302" s="18" t="s">
        <v>1032</v>
      </c>
      <c r="D302" s="16" t="s">
        <v>1440</v>
      </c>
      <c r="E302" s="25" t="s">
        <v>146</v>
      </c>
      <c r="F302" s="23" t="s">
        <v>30</v>
      </c>
      <c r="G302" s="22" t="s">
        <v>30</v>
      </c>
      <c r="H302" s="22" t="s">
        <v>30</v>
      </c>
      <c r="I302" s="92" t="str">
        <f t="shared" si="4"/>
        <v>N/A</v>
      </c>
      <c r="J302" s="16" t="s">
        <v>140</v>
      </c>
      <c r="K302" s="16">
        <v>2017</v>
      </c>
      <c r="L302" s="16" t="s">
        <v>36</v>
      </c>
      <c r="M302" s="16" t="s">
        <v>36</v>
      </c>
      <c r="N302" s="16" t="s">
        <v>36</v>
      </c>
      <c r="O302" s="16" t="s">
        <v>944</v>
      </c>
      <c r="P302" s="16" t="s">
        <v>37</v>
      </c>
      <c r="Q302" s="16" t="s">
        <v>28</v>
      </c>
    </row>
    <row r="303" spans="1:20" ht="30" customHeight="1">
      <c r="A303" s="15" t="s">
        <v>1033</v>
      </c>
      <c r="B303" s="24" t="s">
        <v>30</v>
      </c>
      <c r="C303" s="18" t="s">
        <v>1034</v>
      </c>
      <c r="D303" s="16" t="s">
        <v>1440</v>
      </c>
      <c r="E303" s="25" t="s">
        <v>146</v>
      </c>
      <c r="F303" s="23" t="s">
        <v>30</v>
      </c>
      <c r="G303" s="22" t="s">
        <v>30</v>
      </c>
      <c r="H303" s="22" t="s">
        <v>30</v>
      </c>
      <c r="I303" s="92" t="str">
        <f t="shared" si="4"/>
        <v>N/A</v>
      </c>
      <c r="J303" s="16" t="s">
        <v>41</v>
      </c>
      <c r="K303" s="16">
        <v>2017</v>
      </c>
      <c r="L303" s="16" t="s">
        <v>1035</v>
      </c>
      <c r="M303" s="16" t="s">
        <v>1036</v>
      </c>
      <c r="N303" s="16" t="s">
        <v>36</v>
      </c>
      <c r="O303" s="16" t="s">
        <v>944</v>
      </c>
      <c r="P303" s="16" t="s">
        <v>37</v>
      </c>
      <c r="Q303" s="16" t="s">
        <v>28</v>
      </c>
    </row>
    <row r="304" spans="1:20" ht="30" customHeight="1">
      <c r="A304" s="15" t="s">
        <v>1037</v>
      </c>
      <c r="B304" s="24" t="s">
        <v>1038</v>
      </c>
      <c r="C304" s="18" t="s">
        <v>1039</v>
      </c>
      <c r="D304" s="16" t="s">
        <v>1440</v>
      </c>
      <c r="E304" s="25" t="s">
        <v>146</v>
      </c>
      <c r="F304" s="23" t="s">
        <v>30</v>
      </c>
      <c r="G304" s="22" t="s">
        <v>30</v>
      </c>
      <c r="H304" s="22" t="s">
        <v>30</v>
      </c>
      <c r="I304" s="92" t="str">
        <f t="shared" si="4"/>
        <v>N/A</v>
      </c>
      <c r="J304" s="16" t="s">
        <v>41</v>
      </c>
      <c r="K304" s="16">
        <v>2017</v>
      </c>
      <c r="L304" s="16" t="s">
        <v>1040</v>
      </c>
      <c r="M304" s="16" t="s">
        <v>1041</v>
      </c>
      <c r="N304" s="16" t="s">
        <v>36</v>
      </c>
      <c r="O304" s="16" t="s">
        <v>944</v>
      </c>
      <c r="P304" s="16" t="s">
        <v>37</v>
      </c>
      <c r="Q304" s="16" t="s">
        <v>28</v>
      </c>
      <c r="T304" s="6" t="s">
        <v>169</v>
      </c>
    </row>
    <row r="305" spans="1:17" ht="30" customHeight="1">
      <c r="A305" s="15" t="s">
        <v>1042</v>
      </c>
      <c r="B305" s="24" t="s">
        <v>1043</v>
      </c>
      <c r="C305" s="18" t="s">
        <v>1044</v>
      </c>
      <c r="D305" s="16" t="s">
        <v>1440</v>
      </c>
      <c r="E305" s="25" t="s">
        <v>146</v>
      </c>
      <c r="F305" s="23" t="s">
        <v>30</v>
      </c>
      <c r="G305" s="22" t="s">
        <v>30</v>
      </c>
      <c r="H305" s="22" t="s">
        <v>30</v>
      </c>
      <c r="I305" s="92" t="str">
        <f t="shared" si="4"/>
        <v>N/A</v>
      </c>
      <c r="J305" s="16" t="s">
        <v>41</v>
      </c>
      <c r="K305" s="16">
        <v>2017</v>
      </c>
      <c r="L305" s="16" t="s">
        <v>1045</v>
      </c>
      <c r="M305" s="16" t="s">
        <v>1046</v>
      </c>
      <c r="N305" s="16" t="s">
        <v>36</v>
      </c>
      <c r="O305" s="16" t="s">
        <v>944</v>
      </c>
      <c r="P305" s="16" t="s">
        <v>37</v>
      </c>
      <c r="Q305" s="16" t="s">
        <v>28</v>
      </c>
    </row>
    <row r="306" spans="1:17" ht="30" customHeight="1">
      <c r="A306" s="15" t="s">
        <v>1047</v>
      </c>
      <c r="B306" s="24" t="s">
        <v>1048</v>
      </c>
      <c r="C306" s="18" t="s">
        <v>1049</v>
      </c>
      <c r="D306" s="16" t="s">
        <v>1440</v>
      </c>
      <c r="E306" s="25" t="s">
        <v>146</v>
      </c>
      <c r="F306" s="23" t="s">
        <v>30</v>
      </c>
      <c r="G306" s="22" t="s">
        <v>30</v>
      </c>
      <c r="H306" s="22" t="s">
        <v>30</v>
      </c>
      <c r="I306" s="92" t="str">
        <f t="shared" si="4"/>
        <v>N/A</v>
      </c>
      <c r="J306" s="16" t="s">
        <v>23</v>
      </c>
      <c r="K306" s="16">
        <v>2017</v>
      </c>
      <c r="L306" s="16" t="s">
        <v>1049</v>
      </c>
      <c r="M306" s="16" t="s">
        <v>36</v>
      </c>
      <c r="N306" s="16" t="s">
        <v>36</v>
      </c>
      <c r="O306" s="16" t="s">
        <v>944</v>
      </c>
      <c r="P306" s="16" t="s">
        <v>37</v>
      </c>
      <c r="Q306" s="16" t="s">
        <v>28</v>
      </c>
    </row>
    <row r="307" spans="1:17" ht="30" customHeight="1">
      <c r="A307" s="15" t="s">
        <v>1050</v>
      </c>
      <c r="B307" s="24" t="s">
        <v>1051</v>
      </c>
      <c r="C307" s="18" t="s">
        <v>1049</v>
      </c>
      <c r="D307" s="16" t="s">
        <v>1440</v>
      </c>
      <c r="E307" s="25" t="s">
        <v>146</v>
      </c>
      <c r="F307" s="23" t="s">
        <v>30</v>
      </c>
      <c r="G307" s="22" t="s">
        <v>30</v>
      </c>
      <c r="H307" s="22" t="s">
        <v>30</v>
      </c>
      <c r="I307" s="92" t="str">
        <f t="shared" si="4"/>
        <v>N/A</v>
      </c>
      <c r="J307" s="16" t="s">
        <v>23</v>
      </c>
      <c r="K307" s="16">
        <v>2017</v>
      </c>
      <c r="L307" s="16" t="s">
        <v>1049</v>
      </c>
      <c r="M307" s="16" t="s">
        <v>36</v>
      </c>
      <c r="N307" s="16" t="s">
        <v>36</v>
      </c>
      <c r="O307" s="16" t="s">
        <v>944</v>
      </c>
      <c r="P307" s="16" t="s">
        <v>37</v>
      </c>
      <c r="Q307" s="16" t="s">
        <v>28</v>
      </c>
    </row>
    <row r="308" spans="1:17" ht="30" customHeight="1">
      <c r="A308" s="15" t="s">
        <v>1052</v>
      </c>
      <c r="B308" s="24" t="s">
        <v>1053</v>
      </c>
      <c r="C308" s="18" t="s">
        <v>955</v>
      </c>
      <c r="D308" s="16" t="s">
        <v>1440</v>
      </c>
      <c r="E308" s="25" t="s">
        <v>146</v>
      </c>
      <c r="F308" s="23" t="s">
        <v>30</v>
      </c>
      <c r="G308" s="22" t="s">
        <v>30</v>
      </c>
      <c r="H308" s="22" t="s">
        <v>30</v>
      </c>
      <c r="I308" s="92" t="str">
        <f t="shared" si="4"/>
        <v>N/A</v>
      </c>
      <c r="J308" s="16" t="s">
        <v>23</v>
      </c>
      <c r="K308" s="16">
        <v>2017</v>
      </c>
      <c r="L308" s="16" t="s">
        <v>956</v>
      </c>
      <c r="M308" s="16">
        <v>101745</v>
      </c>
      <c r="N308" s="16" t="s">
        <v>1054</v>
      </c>
      <c r="O308" s="16" t="s">
        <v>944</v>
      </c>
      <c r="P308" s="16" t="s">
        <v>37</v>
      </c>
      <c r="Q308" s="16" t="s">
        <v>28</v>
      </c>
    </row>
    <row r="309" spans="1:17" ht="30" customHeight="1">
      <c r="A309" s="15" t="s">
        <v>1055</v>
      </c>
      <c r="B309" s="24" t="s">
        <v>1056</v>
      </c>
      <c r="C309" s="18" t="s">
        <v>955</v>
      </c>
      <c r="D309" s="16" t="s">
        <v>1440</v>
      </c>
      <c r="E309" s="25" t="s">
        <v>146</v>
      </c>
      <c r="F309" s="23" t="s">
        <v>30</v>
      </c>
      <c r="G309" s="22" t="s">
        <v>30</v>
      </c>
      <c r="H309" s="22" t="s">
        <v>30</v>
      </c>
      <c r="I309" s="92" t="str">
        <f t="shared" si="4"/>
        <v>N/A</v>
      </c>
      <c r="J309" s="16" t="s">
        <v>23</v>
      </c>
      <c r="K309" s="16">
        <v>2017</v>
      </c>
      <c r="L309" s="16" t="s">
        <v>1057</v>
      </c>
      <c r="M309" s="16">
        <v>100924</v>
      </c>
      <c r="N309" s="16" t="s">
        <v>1054</v>
      </c>
      <c r="O309" s="16" t="s">
        <v>944</v>
      </c>
      <c r="P309" s="16" t="s">
        <v>37</v>
      </c>
      <c r="Q309" s="16" t="s">
        <v>28</v>
      </c>
    </row>
    <row r="310" spans="1:17" ht="30" customHeight="1">
      <c r="A310" s="15" t="s">
        <v>1058</v>
      </c>
      <c r="B310" s="24" t="s">
        <v>30</v>
      </c>
      <c r="C310" s="18" t="s">
        <v>233</v>
      </c>
      <c r="D310" s="16" t="s">
        <v>1440</v>
      </c>
      <c r="E310" s="25" t="s">
        <v>20</v>
      </c>
      <c r="F310" s="23" t="s">
        <v>21</v>
      </c>
      <c r="G310" s="22" t="s">
        <v>22</v>
      </c>
      <c r="H310" s="22">
        <v>12</v>
      </c>
      <c r="I310" s="92">
        <f t="shared" si="4"/>
        <v>45861</v>
      </c>
      <c r="J310" s="16" t="s">
        <v>23</v>
      </c>
      <c r="K310" s="16">
        <v>2019</v>
      </c>
      <c r="L310" s="16" t="s">
        <v>1059</v>
      </c>
      <c r="M310" s="16">
        <v>1</v>
      </c>
      <c r="N310" s="16" t="s">
        <v>1060</v>
      </c>
      <c r="O310" s="16" t="s">
        <v>939</v>
      </c>
      <c r="P310" s="16" t="s">
        <v>27</v>
      </c>
      <c r="Q310" s="16" t="s">
        <v>28</v>
      </c>
    </row>
    <row r="311" spans="1:17" ht="30" customHeight="1">
      <c r="A311" s="15" t="s">
        <v>1061</v>
      </c>
      <c r="B311" s="24" t="s">
        <v>30</v>
      </c>
      <c r="C311" s="18" t="s">
        <v>233</v>
      </c>
      <c r="D311" s="16" t="s">
        <v>1440</v>
      </c>
      <c r="E311" s="25" t="s">
        <v>20</v>
      </c>
      <c r="F311" s="23" t="s">
        <v>21</v>
      </c>
      <c r="G311" s="22" t="s">
        <v>22</v>
      </c>
      <c r="H311" s="22">
        <v>12</v>
      </c>
      <c r="I311" s="92">
        <f t="shared" si="4"/>
        <v>45861</v>
      </c>
      <c r="J311" s="16" t="s">
        <v>23</v>
      </c>
      <c r="K311" s="16">
        <v>2019</v>
      </c>
      <c r="L311" s="16" t="s">
        <v>1062</v>
      </c>
      <c r="M311" s="16">
        <v>2</v>
      </c>
      <c r="N311" s="16" t="s">
        <v>1060</v>
      </c>
      <c r="O311" s="16" t="s">
        <v>939</v>
      </c>
      <c r="P311" s="16" t="s">
        <v>27</v>
      </c>
      <c r="Q311" s="16" t="s">
        <v>28</v>
      </c>
    </row>
    <row r="312" spans="1:17" ht="30" customHeight="1">
      <c r="A312" s="15" t="s">
        <v>1063</v>
      </c>
      <c r="B312" s="24" t="s">
        <v>30</v>
      </c>
      <c r="C312" s="18" t="s">
        <v>233</v>
      </c>
      <c r="D312" s="16" t="s">
        <v>1440</v>
      </c>
      <c r="E312" s="25" t="s">
        <v>20</v>
      </c>
      <c r="F312" s="23" t="s">
        <v>21</v>
      </c>
      <c r="G312" s="22" t="s">
        <v>22</v>
      </c>
      <c r="H312" s="22">
        <v>12</v>
      </c>
      <c r="I312" s="92">
        <f t="shared" si="4"/>
        <v>45861</v>
      </c>
      <c r="J312" s="16" t="s">
        <v>977</v>
      </c>
      <c r="K312" s="16">
        <v>2019</v>
      </c>
      <c r="L312" s="16" t="s">
        <v>977</v>
      </c>
      <c r="M312" s="16" t="s">
        <v>1064</v>
      </c>
      <c r="N312" s="16" t="s">
        <v>1060</v>
      </c>
      <c r="O312" s="16" t="s">
        <v>939</v>
      </c>
      <c r="P312" s="16" t="s">
        <v>27</v>
      </c>
      <c r="Q312" s="16" t="s">
        <v>28</v>
      </c>
    </row>
    <row r="313" spans="1:17" ht="30" customHeight="1">
      <c r="A313" s="15" t="s">
        <v>1065</v>
      </c>
      <c r="B313" s="24" t="s">
        <v>1066</v>
      </c>
      <c r="C313" s="18" t="s">
        <v>1067</v>
      </c>
      <c r="D313" s="16" t="s">
        <v>1440</v>
      </c>
      <c r="E313" s="25" t="s">
        <v>146</v>
      </c>
      <c r="F313" s="23" t="s">
        <v>30</v>
      </c>
      <c r="G313" s="22" t="s">
        <v>30</v>
      </c>
      <c r="H313" s="22" t="s">
        <v>30</v>
      </c>
      <c r="I313" s="92" t="str">
        <f t="shared" si="4"/>
        <v>N/A</v>
      </c>
      <c r="J313" s="16" t="s">
        <v>1068</v>
      </c>
      <c r="K313" s="16">
        <v>2019</v>
      </c>
      <c r="L313" s="16" t="s">
        <v>1069</v>
      </c>
      <c r="M313" s="16">
        <v>1</v>
      </c>
      <c r="N313" s="16" t="s">
        <v>1070</v>
      </c>
      <c r="O313" s="16" t="s">
        <v>939</v>
      </c>
      <c r="P313" s="16" t="s">
        <v>37</v>
      </c>
      <c r="Q313" s="16" t="s">
        <v>28</v>
      </c>
    </row>
    <row r="314" spans="1:17" ht="30" customHeight="1">
      <c r="A314" s="15" t="s">
        <v>1071</v>
      </c>
      <c r="B314" s="24" t="s">
        <v>1072</v>
      </c>
      <c r="C314" s="18" t="s">
        <v>1073</v>
      </c>
      <c r="D314" s="16" t="s">
        <v>1440</v>
      </c>
      <c r="E314" s="25" t="s">
        <v>20</v>
      </c>
      <c r="F314" s="23" t="s">
        <v>367</v>
      </c>
      <c r="G314" s="22" t="s">
        <v>22</v>
      </c>
      <c r="H314" s="22">
        <v>12</v>
      </c>
      <c r="I314" s="92">
        <f t="shared" si="4"/>
        <v>45864</v>
      </c>
      <c r="J314" s="16" t="s">
        <v>1074</v>
      </c>
      <c r="K314" s="16">
        <v>2019</v>
      </c>
      <c r="L314" s="16" t="s">
        <v>1075</v>
      </c>
      <c r="M314" s="16">
        <v>1</v>
      </c>
      <c r="N314" s="16" t="s">
        <v>1076</v>
      </c>
      <c r="O314" s="16" t="s">
        <v>939</v>
      </c>
      <c r="P314" s="16" t="s">
        <v>27</v>
      </c>
      <c r="Q314" s="16" t="s">
        <v>28</v>
      </c>
    </row>
    <row r="315" spans="1:17" ht="30" customHeight="1">
      <c r="A315" s="15" t="s">
        <v>1077</v>
      </c>
      <c r="B315" s="24" t="s">
        <v>30</v>
      </c>
      <c r="C315" s="18" t="s">
        <v>1078</v>
      </c>
      <c r="D315" s="16" t="s">
        <v>1440</v>
      </c>
      <c r="E315" s="25" t="s">
        <v>146</v>
      </c>
      <c r="F315" s="23" t="s">
        <v>30</v>
      </c>
      <c r="G315" s="22" t="s">
        <v>30</v>
      </c>
      <c r="H315" s="22" t="s">
        <v>30</v>
      </c>
      <c r="I315" s="92" t="str">
        <f t="shared" si="4"/>
        <v>N/A</v>
      </c>
      <c r="J315" s="16" t="s">
        <v>1074</v>
      </c>
      <c r="K315" s="16">
        <v>2019</v>
      </c>
      <c r="L315" s="16" t="s">
        <v>1079</v>
      </c>
      <c r="M315" s="16">
        <v>1</v>
      </c>
      <c r="N315" s="16" t="s">
        <v>1080</v>
      </c>
      <c r="O315" s="16" t="s">
        <v>939</v>
      </c>
      <c r="P315" s="16" t="s">
        <v>37</v>
      </c>
      <c r="Q315" s="16" t="s">
        <v>28</v>
      </c>
    </row>
    <row r="316" spans="1:17" ht="30" customHeight="1">
      <c r="A316" s="15" t="s">
        <v>1081</v>
      </c>
      <c r="B316" s="24" t="s">
        <v>30</v>
      </c>
      <c r="C316" s="18" t="s">
        <v>1082</v>
      </c>
      <c r="D316" s="16" t="s">
        <v>1440</v>
      </c>
      <c r="E316" s="25" t="s">
        <v>20</v>
      </c>
      <c r="F316" s="23">
        <v>45132</v>
      </c>
      <c r="G316" s="22" t="s">
        <v>22</v>
      </c>
      <c r="H316" s="22">
        <v>24</v>
      </c>
      <c r="I316" s="92">
        <f t="shared" si="4"/>
        <v>45863</v>
      </c>
      <c r="J316" s="16" t="s">
        <v>1083</v>
      </c>
      <c r="K316" s="16">
        <v>2019</v>
      </c>
      <c r="L316" s="16" t="s">
        <v>1084</v>
      </c>
      <c r="M316" s="16">
        <v>1</v>
      </c>
      <c r="N316" s="16" t="s">
        <v>1085</v>
      </c>
      <c r="O316" s="16" t="s">
        <v>939</v>
      </c>
      <c r="P316" s="16" t="s">
        <v>27</v>
      </c>
      <c r="Q316" s="16" t="s">
        <v>28</v>
      </c>
    </row>
    <row r="317" spans="1:17" ht="30" customHeight="1">
      <c r="A317" s="15" t="s">
        <v>1086</v>
      </c>
      <c r="B317" s="24" t="s">
        <v>30</v>
      </c>
      <c r="C317" s="18" t="s">
        <v>1087</v>
      </c>
      <c r="D317" s="16" t="s">
        <v>1440</v>
      </c>
      <c r="E317" s="25" t="s">
        <v>20</v>
      </c>
      <c r="F317" s="23" t="s">
        <v>21</v>
      </c>
      <c r="G317" s="22" t="s">
        <v>22</v>
      </c>
      <c r="H317" s="22">
        <v>12</v>
      </c>
      <c r="I317" s="92">
        <f t="shared" si="4"/>
        <v>45861</v>
      </c>
      <c r="J317" s="16" t="s">
        <v>131</v>
      </c>
      <c r="K317" s="16">
        <v>2019</v>
      </c>
      <c r="L317" s="16" t="s">
        <v>1088</v>
      </c>
      <c r="M317" s="16" t="s">
        <v>1089</v>
      </c>
      <c r="N317" s="16" t="s">
        <v>1090</v>
      </c>
      <c r="O317" s="16" t="s">
        <v>939</v>
      </c>
      <c r="P317" s="16" t="s">
        <v>27</v>
      </c>
      <c r="Q317" s="16" t="s">
        <v>28</v>
      </c>
    </row>
    <row r="318" spans="1:17" ht="30" customHeight="1">
      <c r="A318" s="15" t="s">
        <v>1091</v>
      </c>
      <c r="B318" s="24" t="s">
        <v>30</v>
      </c>
      <c r="C318" s="18" t="s">
        <v>221</v>
      </c>
      <c r="D318" s="16" t="s">
        <v>1440</v>
      </c>
      <c r="E318" s="25" t="s">
        <v>20</v>
      </c>
      <c r="F318" s="23" t="s">
        <v>21</v>
      </c>
      <c r="G318" s="22" t="s">
        <v>22</v>
      </c>
      <c r="H318" s="22">
        <v>12</v>
      </c>
      <c r="I318" s="92">
        <f t="shared" si="4"/>
        <v>45861</v>
      </c>
      <c r="J318" s="16" t="s">
        <v>525</v>
      </c>
      <c r="K318" s="16">
        <v>2020</v>
      </c>
      <c r="L318" s="16" t="s">
        <v>773</v>
      </c>
      <c r="M318" s="16" t="s">
        <v>1092</v>
      </c>
      <c r="N318" s="16" t="s">
        <v>1093</v>
      </c>
      <c r="O318" s="16" t="s">
        <v>939</v>
      </c>
      <c r="P318" s="16" t="s">
        <v>27</v>
      </c>
      <c r="Q318" s="16" t="s">
        <v>28</v>
      </c>
    </row>
    <row r="319" spans="1:17" ht="30" customHeight="1">
      <c r="A319" s="15" t="s">
        <v>1094</v>
      </c>
      <c r="B319" s="24" t="s">
        <v>30</v>
      </c>
      <c r="C319" s="18" t="s">
        <v>221</v>
      </c>
      <c r="D319" s="16" t="s">
        <v>1440</v>
      </c>
      <c r="E319" s="25" t="s">
        <v>20</v>
      </c>
      <c r="F319" s="23" t="s">
        <v>85</v>
      </c>
      <c r="G319" s="22" t="s">
        <v>22</v>
      </c>
      <c r="H319" s="22">
        <v>12</v>
      </c>
      <c r="I319" s="92">
        <f t="shared" si="4"/>
        <v>45860</v>
      </c>
      <c r="J319" s="16" t="s">
        <v>525</v>
      </c>
      <c r="K319" s="16">
        <v>2020</v>
      </c>
      <c r="L319" s="16" t="s">
        <v>773</v>
      </c>
      <c r="M319" s="16" t="s">
        <v>1095</v>
      </c>
      <c r="N319" s="16" t="s">
        <v>1093</v>
      </c>
      <c r="O319" s="16" t="s">
        <v>939</v>
      </c>
      <c r="P319" s="16" t="s">
        <v>27</v>
      </c>
      <c r="Q319" s="16" t="s">
        <v>28</v>
      </c>
    </row>
    <row r="320" spans="1:17" ht="30" customHeight="1">
      <c r="A320" s="15" t="s">
        <v>1096</v>
      </c>
      <c r="B320" s="24" t="s">
        <v>30</v>
      </c>
      <c r="C320" s="18" t="s">
        <v>1097</v>
      </c>
      <c r="D320" s="16" t="s">
        <v>1440</v>
      </c>
      <c r="E320" s="25" t="s">
        <v>20</v>
      </c>
      <c r="F320" s="23" t="s">
        <v>589</v>
      </c>
      <c r="G320" s="22" t="s">
        <v>22</v>
      </c>
      <c r="H320" s="22">
        <v>12</v>
      </c>
      <c r="I320" s="92">
        <f t="shared" si="4"/>
        <v>46025</v>
      </c>
      <c r="J320" s="16" t="s">
        <v>1098</v>
      </c>
      <c r="K320" s="16">
        <v>2020</v>
      </c>
      <c r="L320" s="16" t="s">
        <v>1099</v>
      </c>
      <c r="M320" s="16">
        <v>3</v>
      </c>
      <c r="N320" s="16" t="s">
        <v>1100</v>
      </c>
      <c r="O320" s="16" t="s">
        <v>939</v>
      </c>
      <c r="P320" s="16" t="s">
        <v>27</v>
      </c>
      <c r="Q320" s="16" t="s">
        <v>28</v>
      </c>
    </row>
    <row r="321" spans="1:17" ht="30" customHeight="1">
      <c r="A321" s="15" t="s">
        <v>1101</v>
      </c>
      <c r="B321" s="24" t="s">
        <v>30</v>
      </c>
      <c r="C321" s="18" t="s">
        <v>1097</v>
      </c>
      <c r="D321" s="16" t="s">
        <v>1440</v>
      </c>
      <c r="E321" s="25" t="s">
        <v>20</v>
      </c>
      <c r="F321" s="23" t="s">
        <v>589</v>
      </c>
      <c r="G321" s="22" t="s">
        <v>22</v>
      </c>
      <c r="H321" s="22">
        <v>12</v>
      </c>
      <c r="I321" s="92">
        <f t="shared" si="4"/>
        <v>46025</v>
      </c>
      <c r="J321" s="16" t="s">
        <v>1098</v>
      </c>
      <c r="K321" s="16">
        <v>2020</v>
      </c>
      <c r="L321" s="16" t="s">
        <v>1102</v>
      </c>
      <c r="M321" s="16">
        <v>3</v>
      </c>
      <c r="N321" s="16" t="s">
        <v>1103</v>
      </c>
      <c r="O321" s="16" t="s">
        <v>939</v>
      </c>
      <c r="P321" s="16" t="s">
        <v>27</v>
      </c>
      <c r="Q321" s="16" t="s">
        <v>28</v>
      </c>
    </row>
    <row r="322" spans="1:17" ht="30" customHeight="1">
      <c r="A322" s="15" t="s">
        <v>1104</v>
      </c>
      <c r="B322" s="24" t="s">
        <v>30</v>
      </c>
      <c r="C322" s="18" t="s">
        <v>1097</v>
      </c>
      <c r="D322" s="16" t="s">
        <v>1440</v>
      </c>
      <c r="E322" s="25" t="s">
        <v>20</v>
      </c>
      <c r="F322" s="23" t="s">
        <v>589</v>
      </c>
      <c r="G322" s="22" t="s">
        <v>22</v>
      </c>
      <c r="H322" s="22">
        <v>12</v>
      </c>
      <c r="I322" s="92">
        <f t="shared" si="4"/>
        <v>46025</v>
      </c>
      <c r="J322" s="16" t="s">
        <v>1098</v>
      </c>
      <c r="K322" s="16">
        <v>2020</v>
      </c>
      <c r="L322" s="16" t="s">
        <v>1105</v>
      </c>
      <c r="M322" s="16">
        <v>3</v>
      </c>
      <c r="N322" s="16" t="s">
        <v>1106</v>
      </c>
      <c r="O322" s="16" t="s">
        <v>939</v>
      </c>
      <c r="P322" s="16" t="s">
        <v>27</v>
      </c>
      <c r="Q322" s="16" t="s">
        <v>28</v>
      </c>
    </row>
    <row r="323" spans="1:17" ht="30" customHeight="1">
      <c r="A323" s="15" t="s">
        <v>1107</v>
      </c>
      <c r="B323" s="24" t="s">
        <v>30</v>
      </c>
      <c r="C323" s="18" t="s">
        <v>1108</v>
      </c>
      <c r="D323" s="16" t="s">
        <v>1440</v>
      </c>
      <c r="E323" s="25" t="s">
        <v>20</v>
      </c>
      <c r="F323" s="23" t="s">
        <v>105</v>
      </c>
      <c r="G323" s="22" t="s">
        <v>22</v>
      </c>
      <c r="H323" s="22">
        <v>12</v>
      </c>
      <c r="I323" s="92">
        <f t="shared" ref="I323:I382" si="5">IF(H323=12,DATE(YEAR(F323)+1,MONTH(F323),DAY(F323)),IF(H323=24,DATE(YEAR(F323)+2,MONTH(F323),DAY(F323)),IF(H323="N/A","N/A")))</f>
        <v>45862</v>
      </c>
      <c r="J323" s="16" t="s">
        <v>525</v>
      </c>
      <c r="K323" s="16">
        <v>2020</v>
      </c>
      <c r="L323" s="16" t="s">
        <v>1109</v>
      </c>
      <c r="M323" s="16" t="s">
        <v>1110</v>
      </c>
      <c r="N323" s="16" t="s">
        <v>1111</v>
      </c>
      <c r="O323" s="16" t="s">
        <v>939</v>
      </c>
      <c r="P323" s="16" t="s">
        <v>27</v>
      </c>
      <c r="Q323" s="16" t="s">
        <v>28</v>
      </c>
    </row>
    <row r="324" spans="1:17" ht="30" customHeight="1">
      <c r="A324" s="15" t="s">
        <v>1112</v>
      </c>
      <c r="B324" s="24" t="s">
        <v>30</v>
      </c>
      <c r="C324" s="18" t="s">
        <v>1108</v>
      </c>
      <c r="D324" s="16" t="s">
        <v>1440</v>
      </c>
      <c r="E324" s="25" t="s">
        <v>20</v>
      </c>
      <c r="F324" s="23" t="s">
        <v>105</v>
      </c>
      <c r="G324" s="22" t="s">
        <v>22</v>
      </c>
      <c r="H324" s="22">
        <v>12</v>
      </c>
      <c r="I324" s="92">
        <f t="shared" si="5"/>
        <v>45862</v>
      </c>
      <c r="J324" s="16" t="s">
        <v>525</v>
      </c>
      <c r="K324" s="16">
        <v>2020</v>
      </c>
      <c r="L324" s="16" t="s">
        <v>1113</v>
      </c>
      <c r="M324" s="16" t="s">
        <v>1114</v>
      </c>
      <c r="N324" s="16" t="s">
        <v>1115</v>
      </c>
      <c r="O324" s="16" t="s">
        <v>939</v>
      </c>
      <c r="P324" s="16" t="s">
        <v>27</v>
      </c>
      <c r="Q324" s="16" t="s">
        <v>28</v>
      </c>
    </row>
    <row r="325" spans="1:17" ht="30" customHeight="1">
      <c r="A325" s="15" t="s">
        <v>1116</v>
      </c>
      <c r="B325" s="24" t="s">
        <v>30</v>
      </c>
      <c r="C325" s="18" t="s">
        <v>1117</v>
      </c>
      <c r="D325" s="16" t="s">
        <v>1440</v>
      </c>
      <c r="E325" s="25" t="s">
        <v>20</v>
      </c>
      <c r="F325" s="23" t="s">
        <v>21</v>
      </c>
      <c r="G325" s="22" t="s">
        <v>22</v>
      </c>
      <c r="H325" s="22">
        <v>12</v>
      </c>
      <c r="I325" s="92">
        <f t="shared" si="5"/>
        <v>45861</v>
      </c>
      <c r="J325" s="16" t="s">
        <v>1118</v>
      </c>
      <c r="K325" s="16">
        <v>2020</v>
      </c>
      <c r="L325" s="16" t="s">
        <v>1119</v>
      </c>
      <c r="M325" s="16" t="s">
        <v>1120</v>
      </c>
      <c r="N325" s="16" t="s">
        <v>1121</v>
      </c>
      <c r="O325" s="16" t="s">
        <v>939</v>
      </c>
      <c r="P325" s="16" t="s">
        <v>27</v>
      </c>
      <c r="Q325" s="16" t="s">
        <v>28</v>
      </c>
    </row>
    <row r="326" spans="1:17" ht="30" customHeight="1">
      <c r="A326" s="15" t="s">
        <v>1122</v>
      </c>
      <c r="B326" s="24" t="s">
        <v>30</v>
      </c>
      <c r="C326" s="18" t="s">
        <v>1117</v>
      </c>
      <c r="D326" s="16" t="s">
        <v>1440</v>
      </c>
      <c r="E326" s="25" t="s">
        <v>20</v>
      </c>
      <c r="F326" s="23" t="s">
        <v>105</v>
      </c>
      <c r="G326" s="22" t="s">
        <v>22</v>
      </c>
      <c r="H326" s="22">
        <v>12</v>
      </c>
      <c r="I326" s="92">
        <f t="shared" si="5"/>
        <v>45862</v>
      </c>
      <c r="J326" s="16" t="s">
        <v>1118</v>
      </c>
      <c r="K326" s="16">
        <v>2020</v>
      </c>
      <c r="L326" s="16" t="s">
        <v>1119</v>
      </c>
      <c r="M326" s="16" t="s">
        <v>1123</v>
      </c>
      <c r="N326" s="16" t="s">
        <v>1121</v>
      </c>
      <c r="O326" s="16" t="s">
        <v>939</v>
      </c>
      <c r="P326" s="16" t="s">
        <v>27</v>
      </c>
      <c r="Q326" s="16" t="s">
        <v>28</v>
      </c>
    </row>
    <row r="327" spans="1:17" ht="30" customHeight="1">
      <c r="A327" s="15" t="s">
        <v>1124</v>
      </c>
      <c r="B327" s="24" t="s">
        <v>30</v>
      </c>
      <c r="C327" s="18" t="s">
        <v>972</v>
      </c>
      <c r="D327" s="16" t="s">
        <v>1440</v>
      </c>
      <c r="E327" s="25" t="s">
        <v>20</v>
      </c>
      <c r="F327" s="23" t="s">
        <v>21</v>
      </c>
      <c r="G327" s="22" t="s">
        <v>22</v>
      </c>
      <c r="H327" s="22">
        <v>12</v>
      </c>
      <c r="I327" s="92">
        <f t="shared" si="5"/>
        <v>45861</v>
      </c>
      <c r="J327" s="16" t="s">
        <v>234</v>
      </c>
      <c r="K327" s="16">
        <v>2020</v>
      </c>
      <c r="L327" s="16" t="s">
        <v>1125</v>
      </c>
      <c r="M327" s="16">
        <v>2</v>
      </c>
      <c r="N327" s="16" t="s">
        <v>1126</v>
      </c>
      <c r="O327" s="16" t="s">
        <v>939</v>
      </c>
      <c r="P327" s="16" t="s">
        <v>27</v>
      </c>
      <c r="Q327" s="16" t="s">
        <v>28</v>
      </c>
    </row>
    <row r="328" spans="1:17" ht="30" customHeight="1">
      <c r="A328" s="15" t="s">
        <v>1127</v>
      </c>
      <c r="B328" s="24" t="s">
        <v>1128</v>
      </c>
      <c r="C328" s="18" t="s">
        <v>1129</v>
      </c>
      <c r="D328" s="16" t="s">
        <v>1440</v>
      </c>
      <c r="E328" s="25" t="s">
        <v>20</v>
      </c>
      <c r="F328" s="23" t="s">
        <v>21</v>
      </c>
      <c r="G328" s="22" t="s">
        <v>22</v>
      </c>
      <c r="H328" s="22">
        <v>12</v>
      </c>
      <c r="I328" s="92">
        <f t="shared" si="5"/>
        <v>45861</v>
      </c>
      <c r="J328" s="16" t="s">
        <v>1130</v>
      </c>
      <c r="K328" s="16">
        <v>2020</v>
      </c>
      <c r="L328" s="16" t="s">
        <v>1131</v>
      </c>
      <c r="M328" s="16" t="s">
        <v>1132</v>
      </c>
      <c r="N328" s="16" t="s">
        <v>1133</v>
      </c>
      <c r="O328" s="16" t="s">
        <v>939</v>
      </c>
      <c r="P328" s="16" t="s">
        <v>27</v>
      </c>
      <c r="Q328" s="16" t="s">
        <v>28</v>
      </c>
    </row>
    <row r="329" spans="1:17" ht="30" customHeight="1">
      <c r="A329" s="15" t="s">
        <v>1134</v>
      </c>
      <c r="B329" s="24" t="s">
        <v>30</v>
      </c>
      <c r="C329" s="18" t="s">
        <v>1117</v>
      </c>
      <c r="D329" s="16" t="s">
        <v>1440</v>
      </c>
      <c r="E329" s="25" t="s">
        <v>20</v>
      </c>
      <c r="F329" s="23" t="s">
        <v>105</v>
      </c>
      <c r="G329" s="22" t="s">
        <v>22</v>
      </c>
      <c r="H329" s="22">
        <v>12</v>
      </c>
      <c r="I329" s="92">
        <f t="shared" si="5"/>
        <v>45862</v>
      </c>
      <c r="J329" s="16" t="s">
        <v>1118</v>
      </c>
      <c r="K329" s="16">
        <v>2020</v>
      </c>
      <c r="L329" s="16" t="s">
        <v>1119</v>
      </c>
      <c r="M329" s="16" t="s">
        <v>1135</v>
      </c>
      <c r="N329" s="16" t="s">
        <v>1121</v>
      </c>
      <c r="O329" s="16" t="s">
        <v>939</v>
      </c>
      <c r="P329" s="16" t="s">
        <v>27</v>
      </c>
      <c r="Q329" s="16" t="s">
        <v>28</v>
      </c>
    </row>
    <row r="330" spans="1:17" ht="30" customHeight="1">
      <c r="A330" s="15" t="s">
        <v>1136</v>
      </c>
      <c r="B330" s="24" t="s">
        <v>30</v>
      </c>
      <c r="C330" s="18" t="s">
        <v>1117</v>
      </c>
      <c r="D330" s="16" t="s">
        <v>1440</v>
      </c>
      <c r="E330" s="25" t="s">
        <v>20</v>
      </c>
      <c r="F330" s="23" t="s">
        <v>105</v>
      </c>
      <c r="G330" s="22" t="s">
        <v>22</v>
      </c>
      <c r="H330" s="22">
        <v>12</v>
      </c>
      <c r="I330" s="92">
        <f t="shared" si="5"/>
        <v>45862</v>
      </c>
      <c r="J330" s="16" t="s">
        <v>1118</v>
      </c>
      <c r="K330" s="16">
        <v>2020</v>
      </c>
      <c r="L330" s="16" t="s">
        <v>1119</v>
      </c>
      <c r="M330" s="16" t="s">
        <v>1137</v>
      </c>
      <c r="N330" s="16" t="s">
        <v>1121</v>
      </c>
      <c r="O330" s="16" t="s">
        <v>939</v>
      </c>
      <c r="P330" s="16" t="s">
        <v>27</v>
      </c>
      <c r="Q330" s="16" t="s">
        <v>28</v>
      </c>
    </row>
    <row r="331" spans="1:17" ht="30" customHeight="1">
      <c r="A331" s="15" t="s">
        <v>1138</v>
      </c>
      <c r="B331" s="24" t="s">
        <v>1139</v>
      </c>
      <c r="C331" s="18" t="s">
        <v>1140</v>
      </c>
      <c r="D331" s="16" t="s">
        <v>1440</v>
      </c>
      <c r="E331" s="25" t="s">
        <v>20</v>
      </c>
      <c r="F331" s="23" t="s">
        <v>21</v>
      </c>
      <c r="G331" s="22" t="s">
        <v>22</v>
      </c>
      <c r="H331" s="22">
        <v>12</v>
      </c>
      <c r="I331" s="92">
        <f t="shared" si="5"/>
        <v>45861</v>
      </c>
      <c r="J331" s="16" t="s">
        <v>106</v>
      </c>
      <c r="K331" s="16">
        <v>2020</v>
      </c>
      <c r="L331" s="16" t="s">
        <v>1141</v>
      </c>
      <c r="M331" s="16" t="s">
        <v>1142</v>
      </c>
      <c r="N331" s="16" t="s">
        <v>1143</v>
      </c>
      <c r="O331" s="16" t="s">
        <v>939</v>
      </c>
      <c r="P331" s="16" t="s">
        <v>27</v>
      </c>
      <c r="Q331" s="16" t="s">
        <v>28</v>
      </c>
    </row>
    <row r="332" spans="1:17" ht="30" customHeight="1">
      <c r="A332" s="15" t="s">
        <v>1144</v>
      </c>
      <c r="B332" s="24" t="s">
        <v>1145</v>
      </c>
      <c r="C332" s="18" t="s">
        <v>208</v>
      </c>
      <c r="D332" s="16" t="s">
        <v>1440</v>
      </c>
      <c r="E332" s="25" t="s">
        <v>20</v>
      </c>
      <c r="F332" s="23" t="s">
        <v>21</v>
      </c>
      <c r="G332" s="22" t="s">
        <v>22</v>
      </c>
      <c r="H332" s="22">
        <v>12</v>
      </c>
      <c r="I332" s="92">
        <f t="shared" si="5"/>
        <v>45861</v>
      </c>
      <c r="J332" s="16" t="s">
        <v>23</v>
      </c>
      <c r="K332" s="16">
        <v>2014</v>
      </c>
      <c r="L332" s="16" t="s">
        <v>1146</v>
      </c>
      <c r="M332" s="16">
        <v>102681</v>
      </c>
      <c r="N332" s="16" t="s">
        <v>1147</v>
      </c>
      <c r="O332" s="16" t="s">
        <v>939</v>
      </c>
      <c r="P332" s="16" t="s">
        <v>27</v>
      </c>
      <c r="Q332" s="16" t="s">
        <v>28</v>
      </c>
    </row>
    <row r="333" spans="1:17" ht="30" customHeight="1">
      <c r="A333" s="15" t="s">
        <v>1148</v>
      </c>
      <c r="B333" s="24" t="s">
        <v>1149</v>
      </c>
      <c r="C333" s="18" t="s">
        <v>1150</v>
      </c>
      <c r="D333" s="16" t="s">
        <v>1440</v>
      </c>
      <c r="E333" s="25" t="s">
        <v>20</v>
      </c>
      <c r="F333" s="91" t="s">
        <v>21</v>
      </c>
      <c r="G333" s="22" t="s">
        <v>22</v>
      </c>
      <c r="H333" s="22">
        <v>12</v>
      </c>
      <c r="I333" s="92">
        <f t="shared" si="5"/>
        <v>45861</v>
      </c>
      <c r="J333" s="16" t="s">
        <v>209</v>
      </c>
      <c r="K333" s="16">
        <v>2016</v>
      </c>
      <c r="L333" s="16" t="s">
        <v>1151</v>
      </c>
      <c r="M333" s="16" t="s">
        <v>1152</v>
      </c>
      <c r="N333" s="16" t="s">
        <v>1153</v>
      </c>
      <c r="O333" s="16" t="s">
        <v>939</v>
      </c>
      <c r="P333" s="16" t="s">
        <v>27</v>
      </c>
      <c r="Q333" s="16" t="s">
        <v>28</v>
      </c>
    </row>
    <row r="334" spans="1:17" ht="30" customHeight="1">
      <c r="A334" s="15" t="s">
        <v>1154</v>
      </c>
      <c r="B334" s="24" t="s">
        <v>1155</v>
      </c>
      <c r="C334" s="18" t="s">
        <v>1156</v>
      </c>
      <c r="D334" s="16" t="s">
        <v>1440</v>
      </c>
      <c r="E334" s="25" t="s">
        <v>20</v>
      </c>
      <c r="F334" s="91" t="s">
        <v>21</v>
      </c>
      <c r="G334" s="22" t="s">
        <v>22</v>
      </c>
      <c r="H334" s="22">
        <v>12</v>
      </c>
      <c r="I334" s="92">
        <f t="shared" si="5"/>
        <v>45861</v>
      </c>
      <c r="J334" s="16" t="s">
        <v>209</v>
      </c>
      <c r="K334" s="16">
        <v>2016</v>
      </c>
      <c r="L334" s="16" t="s">
        <v>1157</v>
      </c>
      <c r="M334" s="16" t="s">
        <v>1158</v>
      </c>
      <c r="N334" s="16" t="s">
        <v>1159</v>
      </c>
      <c r="O334" s="16" t="s">
        <v>939</v>
      </c>
      <c r="P334" s="16" t="s">
        <v>27</v>
      </c>
      <c r="Q334" s="16" t="s">
        <v>28</v>
      </c>
    </row>
    <row r="335" spans="1:17" ht="30" customHeight="1">
      <c r="A335" s="15" t="s">
        <v>1160</v>
      </c>
      <c r="B335" s="24" t="s">
        <v>1161</v>
      </c>
      <c r="C335" s="18" t="s">
        <v>1162</v>
      </c>
      <c r="D335" s="16" t="s">
        <v>1440</v>
      </c>
      <c r="E335" s="25" t="s">
        <v>20</v>
      </c>
      <c r="F335" s="91" t="s">
        <v>21</v>
      </c>
      <c r="G335" s="22" t="s">
        <v>22</v>
      </c>
      <c r="H335" s="22">
        <v>12</v>
      </c>
      <c r="I335" s="92">
        <f t="shared" si="5"/>
        <v>45861</v>
      </c>
      <c r="J335" s="16" t="s">
        <v>209</v>
      </c>
      <c r="K335" s="16">
        <v>2016</v>
      </c>
      <c r="L335" s="16" t="s">
        <v>1163</v>
      </c>
      <c r="M335" s="16" t="s">
        <v>1164</v>
      </c>
      <c r="N335" s="16" t="s">
        <v>1165</v>
      </c>
      <c r="O335" s="16" t="s">
        <v>939</v>
      </c>
      <c r="P335" s="16" t="s">
        <v>27</v>
      </c>
      <c r="Q335" s="16" t="s">
        <v>28</v>
      </c>
    </row>
    <row r="336" spans="1:17" ht="30" customHeight="1">
      <c r="A336" s="15" t="s">
        <v>1166</v>
      </c>
      <c r="B336" s="24" t="s">
        <v>30</v>
      </c>
      <c r="C336" s="18" t="s">
        <v>1437</v>
      </c>
      <c r="D336" s="16" t="s">
        <v>1440</v>
      </c>
      <c r="E336" s="25" t="s">
        <v>20</v>
      </c>
      <c r="F336" s="91">
        <v>45659</v>
      </c>
      <c r="G336" s="22" t="s">
        <v>22</v>
      </c>
      <c r="H336" s="22">
        <v>12</v>
      </c>
      <c r="I336" s="92">
        <f t="shared" si="5"/>
        <v>46024</v>
      </c>
      <c r="J336" s="16" t="s">
        <v>234</v>
      </c>
      <c r="K336" s="16">
        <v>2021</v>
      </c>
      <c r="L336" s="16" t="s">
        <v>1167</v>
      </c>
      <c r="M336" s="16">
        <v>1</v>
      </c>
      <c r="N336" s="16" t="s">
        <v>1168</v>
      </c>
      <c r="O336" s="16" t="s">
        <v>939</v>
      </c>
      <c r="P336" s="16" t="s">
        <v>27</v>
      </c>
      <c r="Q336" s="16" t="s">
        <v>28</v>
      </c>
    </row>
    <row r="337" spans="1:17" ht="30" customHeight="1">
      <c r="A337" s="15" t="s">
        <v>1169</v>
      </c>
      <c r="B337" s="24" t="s">
        <v>30</v>
      </c>
      <c r="C337" s="18" t="s">
        <v>972</v>
      </c>
      <c r="D337" s="16" t="s">
        <v>1440</v>
      </c>
      <c r="E337" s="25" t="s">
        <v>20</v>
      </c>
      <c r="F337" s="91">
        <v>45659</v>
      </c>
      <c r="G337" s="22" t="s">
        <v>22</v>
      </c>
      <c r="H337" s="22">
        <v>12</v>
      </c>
      <c r="I337" s="92">
        <f t="shared" si="5"/>
        <v>46024</v>
      </c>
      <c r="J337" s="16" t="s">
        <v>234</v>
      </c>
      <c r="K337" s="16">
        <v>2021</v>
      </c>
      <c r="L337" s="16" t="s">
        <v>1167</v>
      </c>
      <c r="M337" s="16">
        <v>2</v>
      </c>
      <c r="N337" s="16" t="s">
        <v>1168</v>
      </c>
      <c r="O337" s="16" t="s">
        <v>939</v>
      </c>
      <c r="P337" s="16" t="s">
        <v>27</v>
      </c>
      <c r="Q337" s="16" t="s">
        <v>28</v>
      </c>
    </row>
    <row r="338" spans="1:17" ht="30" customHeight="1">
      <c r="A338" s="15" t="s">
        <v>1170</v>
      </c>
      <c r="B338" s="24" t="s">
        <v>30</v>
      </c>
      <c r="C338" s="18" t="s">
        <v>972</v>
      </c>
      <c r="D338" s="16" t="s">
        <v>1440</v>
      </c>
      <c r="E338" s="25" t="s">
        <v>20</v>
      </c>
      <c r="F338" s="91">
        <v>45659</v>
      </c>
      <c r="G338" s="22" t="s">
        <v>22</v>
      </c>
      <c r="H338" s="22">
        <v>12</v>
      </c>
      <c r="I338" s="92">
        <f t="shared" si="5"/>
        <v>46024</v>
      </c>
      <c r="J338" s="16" t="s">
        <v>234</v>
      </c>
      <c r="K338" s="16">
        <v>2021</v>
      </c>
      <c r="L338" s="16" t="s">
        <v>1167</v>
      </c>
      <c r="M338" s="16">
        <v>3</v>
      </c>
      <c r="N338" s="16" t="s">
        <v>1168</v>
      </c>
      <c r="O338" s="16" t="s">
        <v>939</v>
      </c>
      <c r="P338" s="16" t="s">
        <v>27</v>
      </c>
      <c r="Q338" s="16" t="s">
        <v>28</v>
      </c>
    </row>
    <row r="339" spans="1:17" ht="30" customHeight="1">
      <c r="A339" s="15" t="s">
        <v>1171</v>
      </c>
      <c r="B339" s="24" t="s">
        <v>30</v>
      </c>
      <c r="C339" s="18" t="s">
        <v>972</v>
      </c>
      <c r="D339" s="16" t="s">
        <v>1440</v>
      </c>
      <c r="E339" s="25" t="s">
        <v>20</v>
      </c>
      <c r="F339" s="91">
        <v>45659</v>
      </c>
      <c r="G339" s="22" t="s">
        <v>22</v>
      </c>
      <c r="H339" s="22">
        <v>12</v>
      </c>
      <c r="I339" s="92">
        <f t="shared" si="5"/>
        <v>46024</v>
      </c>
      <c r="J339" s="16" t="s">
        <v>234</v>
      </c>
      <c r="K339" s="16">
        <v>2021</v>
      </c>
      <c r="L339" s="16" t="s">
        <v>1167</v>
      </c>
      <c r="M339" s="16">
        <v>4</v>
      </c>
      <c r="N339" s="16" t="s">
        <v>1168</v>
      </c>
      <c r="O339" s="16" t="s">
        <v>939</v>
      </c>
      <c r="P339" s="16" t="s">
        <v>27</v>
      </c>
      <c r="Q339" s="16" t="s">
        <v>28</v>
      </c>
    </row>
    <row r="340" spans="1:17" ht="30" customHeight="1">
      <c r="A340" s="15" t="s">
        <v>1172</v>
      </c>
      <c r="B340" s="24" t="s">
        <v>30</v>
      </c>
      <c r="C340" s="18" t="s">
        <v>972</v>
      </c>
      <c r="D340" s="16" t="s">
        <v>1440</v>
      </c>
      <c r="E340" s="25" t="s">
        <v>20</v>
      </c>
      <c r="F340" s="91">
        <v>45659</v>
      </c>
      <c r="G340" s="22" t="s">
        <v>22</v>
      </c>
      <c r="H340" s="22">
        <v>12</v>
      </c>
      <c r="I340" s="92">
        <f t="shared" si="5"/>
        <v>46024</v>
      </c>
      <c r="J340" s="16" t="s">
        <v>234</v>
      </c>
      <c r="K340" s="16">
        <v>2021</v>
      </c>
      <c r="L340" s="16" t="s">
        <v>1167</v>
      </c>
      <c r="M340" s="16">
        <v>5</v>
      </c>
      <c r="N340" s="16" t="s">
        <v>1168</v>
      </c>
      <c r="O340" s="16" t="s">
        <v>939</v>
      </c>
      <c r="P340" s="16" t="s">
        <v>27</v>
      </c>
      <c r="Q340" s="16" t="s">
        <v>28</v>
      </c>
    </row>
    <row r="341" spans="1:17" ht="30" customHeight="1">
      <c r="A341" s="15" t="s">
        <v>1173</v>
      </c>
      <c r="B341" s="24" t="s">
        <v>30</v>
      </c>
      <c r="C341" s="18" t="s">
        <v>972</v>
      </c>
      <c r="D341" s="16" t="s">
        <v>1440</v>
      </c>
      <c r="E341" s="25" t="s">
        <v>20</v>
      </c>
      <c r="F341" s="91">
        <v>45659</v>
      </c>
      <c r="G341" s="22" t="s">
        <v>22</v>
      </c>
      <c r="H341" s="22">
        <v>12</v>
      </c>
      <c r="I341" s="92">
        <f t="shared" si="5"/>
        <v>46024</v>
      </c>
      <c r="J341" s="16" t="s">
        <v>234</v>
      </c>
      <c r="K341" s="16">
        <v>2021</v>
      </c>
      <c r="L341" s="16" t="s">
        <v>1167</v>
      </c>
      <c r="M341" s="16">
        <v>6</v>
      </c>
      <c r="N341" s="16" t="s">
        <v>1168</v>
      </c>
      <c r="O341" s="16" t="s">
        <v>939</v>
      </c>
      <c r="P341" s="16" t="s">
        <v>27</v>
      </c>
      <c r="Q341" s="16" t="s">
        <v>28</v>
      </c>
    </row>
    <row r="342" spans="1:17" ht="30" customHeight="1">
      <c r="A342" s="15" t="s">
        <v>1174</v>
      </c>
      <c r="B342" s="24" t="s">
        <v>30</v>
      </c>
      <c r="C342" s="18" t="s">
        <v>972</v>
      </c>
      <c r="D342" s="16" t="s">
        <v>1440</v>
      </c>
      <c r="E342" s="25" t="s">
        <v>20</v>
      </c>
      <c r="F342" s="91">
        <v>45659</v>
      </c>
      <c r="G342" s="22" t="s">
        <v>22</v>
      </c>
      <c r="H342" s="22">
        <v>12</v>
      </c>
      <c r="I342" s="92">
        <f t="shared" si="5"/>
        <v>46024</v>
      </c>
      <c r="J342" s="16" t="s">
        <v>234</v>
      </c>
      <c r="K342" s="16">
        <v>2021</v>
      </c>
      <c r="L342" s="16" t="s">
        <v>1167</v>
      </c>
      <c r="M342" s="16">
        <v>7</v>
      </c>
      <c r="N342" s="16" t="s">
        <v>1168</v>
      </c>
      <c r="O342" s="16" t="s">
        <v>939</v>
      </c>
      <c r="P342" s="16" t="s">
        <v>27</v>
      </c>
      <c r="Q342" s="16" t="s">
        <v>28</v>
      </c>
    </row>
    <row r="343" spans="1:17" ht="30" customHeight="1">
      <c r="A343" s="15" t="s">
        <v>1175</v>
      </c>
      <c r="B343" s="24" t="s">
        <v>30</v>
      </c>
      <c r="C343" s="18" t="s">
        <v>972</v>
      </c>
      <c r="D343" s="16" t="s">
        <v>1440</v>
      </c>
      <c r="E343" s="25" t="s">
        <v>20</v>
      </c>
      <c r="F343" s="91">
        <v>45659</v>
      </c>
      <c r="G343" s="22" t="s">
        <v>22</v>
      </c>
      <c r="H343" s="22">
        <v>12</v>
      </c>
      <c r="I343" s="92">
        <f t="shared" si="5"/>
        <v>46024</v>
      </c>
      <c r="J343" s="16" t="s">
        <v>234</v>
      </c>
      <c r="K343" s="16">
        <v>2021</v>
      </c>
      <c r="L343" s="16" t="s">
        <v>1167</v>
      </c>
      <c r="M343" s="16">
        <v>8</v>
      </c>
      <c r="N343" s="16" t="s">
        <v>1168</v>
      </c>
      <c r="O343" s="16" t="s">
        <v>939</v>
      </c>
      <c r="P343" s="16" t="s">
        <v>27</v>
      </c>
      <c r="Q343" s="16" t="s">
        <v>28</v>
      </c>
    </row>
    <row r="344" spans="1:17" ht="30" customHeight="1">
      <c r="A344" s="15" t="s">
        <v>1176</v>
      </c>
      <c r="B344" s="24" t="s">
        <v>30</v>
      </c>
      <c r="C344" s="18" t="s">
        <v>972</v>
      </c>
      <c r="D344" s="16" t="s">
        <v>1440</v>
      </c>
      <c r="E344" s="25" t="s">
        <v>20</v>
      </c>
      <c r="F344" s="91">
        <v>45659</v>
      </c>
      <c r="G344" s="22" t="s">
        <v>22</v>
      </c>
      <c r="H344" s="22">
        <v>12</v>
      </c>
      <c r="I344" s="92">
        <f t="shared" si="5"/>
        <v>46024</v>
      </c>
      <c r="J344" s="16" t="s">
        <v>234</v>
      </c>
      <c r="K344" s="16">
        <v>2021</v>
      </c>
      <c r="L344" s="16" t="s">
        <v>1167</v>
      </c>
      <c r="M344" s="16">
        <v>9</v>
      </c>
      <c r="N344" s="16" t="s">
        <v>1168</v>
      </c>
      <c r="O344" s="16" t="s">
        <v>939</v>
      </c>
      <c r="P344" s="16" t="s">
        <v>27</v>
      </c>
      <c r="Q344" s="16" t="s">
        <v>28</v>
      </c>
    </row>
    <row r="345" spans="1:17" ht="30" customHeight="1">
      <c r="A345" s="15" t="s">
        <v>1177</v>
      </c>
      <c r="B345" s="24" t="s">
        <v>30</v>
      </c>
      <c r="C345" s="18" t="s">
        <v>972</v>
      </c>
      <c r="D345" s="16" t="s">
        <v>1440</v>
      </c>
      <c r="E345" s="25" t="s">
        <v>20</v>
      </c>
      <c r="F345" s="91">
        <v>45659</v>
      </c>
      <c r="G345" s="22" t="s">
        <v>22</v>
      </c>
      <c r="H345" s="22">
        <v>12</v>
      </c>
      <c r="I345" s="92">
        <f t="shared" si="5"/>
        <v>46024</v>
      </c>
      <c r="J345" s="16" t="s">
        <v>234</v>
      </c>
      <c r="K345" s="16">
        <v>2021</v>
      </c>
      <c r="L345" s="16" t="s">
        <v>1167</v>
      </c>
      <c r="M345" s="16">
        <v>10</v>
      </c>
      <c r="N345" s="16" t="s">
        <v>1168</v>
      </c>
      <c r="O345" s="16" t="s">
        <v>939</v>
      </c>
      <c r="P345" s="16" t="s">
        <v>27</v>
      </c>
      <c r="Q345" s="16" t="s">
        <v>28</v>
      </c>
    </row>
    <row r="346" spans="1:17" ht="30" customHeight="1">
      <c r="A346" s="15" t="s">
        <v>1178</v>
      </c>
      <c r="B346" s="24" t="s">
        <v>30</v>
      </c>
      <c r="C346" s="18" t="s">
        <v>1097</v>
      </c>
      <c r="D346" s="16" t="s">
        <v>1440</v>
      </c>
      <c r="E346" s="25" t="s">
        <v>20</v>
      </c>
      <c r="F346" s="91" t="s">
        <v>589</v>
      </c>
      <c r="G346" s="22" t="s">
        <v>22</v>
      </c>
      <c r="H346" s="22">
        <v>12</v>
      </c>
      <c r="I346" s="92">
        <f t="shared" si="5"/>
        <v>46025</v>
      </c>
      <c r="J346" s="16" t="s">
        <v>1179</v>
      </c>
      <c r="K346" s="16">
        <v>2021</v>
      </c>
      <c r="L346" s="16" t="s">
        <v>1180</v>
      </c>
      <c r="M346" s="16">
        <v>2</v>
      </c>
      <c r="N346" s="16" t="s">
        <v>1181</v>
      </c>
      <c r="O346" s="16" t="s">
        <v>939</v>
      </c>
      <c r="P346" s="16" t="s">
        <v>27</v>
      </c>
      <c r="Q346" s="16" t="s">
        <v>28</v>
      </c>
    </row>
    <row r="347" spans="1:17" ht="30" customHeight="1">
      <c r="A347" s="15" t="s">
        <v>1182</v>
      </c>
      <c r="B347" s="24" t="s">
        <v>30</v>
      </c>
      <c r="C347" s="18" t="s">
        <v>1097</v>
      </c>
      <c r="D347" s="16" t="s">
        <v>1440</v>
      </c>
      <c r="E347" s="25" t="s">
        <v>20</v>
      </c>
      <c r="F347" s="91" t="s">
        <v>589</v>
      </c>
      <c r="G347" s="22" t="s">
        <v>22</v>
      </c>
      <c r="H347" s="22">
        <v>12</v>
      </c>
      <c r="I347" s="92">
        <f t="shared" si="5"/>
        <v>46025</v>
      </c>
      <c r="J347" s="16" t="s">
        <v>1179</v>
      </c>
      <c r="K347" s="16">
        <v>2021</v>
      </c>
      <c r="L347" s="16" t="s">
        <v>1183</v>
      </c>
      <c r="M347" s="16">
        <v>1</v>
      </c>
      <c r="N347" s="16" t="s">
        <v>1184</v>
      </c>
      <c r="O347" s="16" t="s">
        <v>939</v>
      </c>
      <c r="P347" s="16" t="s">
        <v>27</v>
      </c>
      <c r="Q347" s="16" t="s">
        <v>28</v>
      </c>
    </row>
    <row r="348" spans="1:17" ht="30" customHeight="1">
      <c r="A348" s="15" t="s">
        <v>1185</v>
      </c>
      <c r="B348" s="24" t="s">
        <v>30</v>
      </c>
      <c r="C348" s="18" t="s">
        <v>1097</v>
      </c>
      <c r="D348" s="16" t="s">
        <v>1440</v>
      </c>
      <c r="E348" s="25" t="s">
        <v>20</v>
      </c>
      <c r="F348" s="91" t="s">
        <v>589</v>
      </c>
      <c r="G348" s="22" t="s">
        <v>22</v>
      </c>
      <c r="H348" s="22">
        <v>12</v>
      </c>
      <c r="I348" s="92">
        <f t="shared" si="5"/>
        <v>46025</v>
      </c>
      <c r="J348" s="16" t="s">
        <v>1179</v>
      </c>
      <c r="K348" s="16">
        <v>2021</v>
      </c>
      <c r="L348" s="16" t="s">
        <v>1186</v>
      </c>
      <c r="M348" s="16">
        <v>8</v>
      </c>
      <c r="N348" s="16" t="s">
        <v>1187</v>
      </c>
      <c r="O348" s="16" t="s">
        <v>939</v>
      </c>
      <c r="P348" s="16" t="s">
        <v>27</v>
      </c>
      <c r="Q348" s="16" t="s">
        <v>28</v>
      </c>
    </row>
    <row r="349" spans="1:17" ht="30" customHeight="1">
      <c r="A349" s="15" t="s">
        <v>1188</v>
      </c>
      <c r="B349" s="24" t="s">
        <v>30</v>
      </c>
      <c r="C349" s="18" t="s">
        <v>1097</v>
      </c>
      <c r="D349" s="16" t="s">
        <v>1440</v>
      </c>
      <c r="E349" s="25" t="s">
        <v>20</v>
      </c>
      <c r="F349" s="91" t="s">
        <v>589</v>
      </c>
      <c r="G349" s="22" t="s">
        <v>22</v>
      </c>
      <c r="H349" s="22">
        <v>12</v>
      </c>
      <c r="I349" s="92">
        <f t="shared" si="5"/>
        <v>46025</v>
      </c>
      <c r="J349" s="16" t="s">
        <v>1179</v>
      </c>
      <c r="K349" s="16">
        <v>2021</v>
      </c>
      <c r="L349" s="16" t="s">
        <v>1189</v>
      </c>
      <c r="M349" s="16">
        <v>3</v>
      </c>
      <c r="N349" s="16" t="s">
        <v>1190</v>
      </c>
      <c r="O349" s="16" t="s">
        <v>939</v>
      </c>
      <c r="P349" s="16" t="s">
        <v>27</v>
      </c>
      <c r="Q349" s="16" t="s">
        <v>28</v>
      </c>
    </row>
    <row r="350" spans="1:17" ht="30" customHeight="1">
      <c r="A350" s="15" t="s">
        <v>1191</v>
      </c>
      <c r="B350" s="24" t="s">
        <v>30</v>
      </c>
      <c r="C350" s="18" t="s">
        <v>1097</v>
      </c>
      <c r="D350" s="16" t="s">
        <v>1440</v>
      </c>
      <c r="E350" s="25" t="s">
        <v>20</v>
      </c>
      <c r="F350" s="91" t="s">
        <v>589</v>
      </c>
      <c r="G350" s="22" t="s">
        <v>22</v>
      </c>
      <c r="H350" s="22">
        <v>12</v>
      </c>
      <c r="I350" s="92">
        <f t="shared" si="5"/>
        <v>46025</v>
      </c>
      <c r="J350" s="16" t="s">
        <v>1179</v>
      </c>
      <c r="K350" s="16">
        <v>2021</v>
      </c>
      <c r="L350" s="16" t="s">
        <v>1192</v>
      </c>
      <c r="M350" s="16">
        <v>1</v>
      </c>
      <c r="N350" s="16" t="s">
        <v>1193</v>
      </c>
      <c r="O350" s="16" t="s">
        <v>939</v>
      </c>
      <c r="P350" s="16" t="s">
        <v>27</v>
      </c>
      <c r="Q350" s="16" t="s">
        <v>28</v>
      </c>
    </row>
    <row r="351" spans="1:17" ht="30" customHeight="1">
      <c r="A351" s="15" t="s">
        <v>1194</v>
      </c>
      <c r="B351" s="24" t="s">
        <v>30</v>
      </c>
      <c r="C351" s="18" t="s">
        <v>1195</v>
      </c>
      <c r="D351" s="16" t="s">
        <v>1440</v>
      </c>
      <c r="E351" s="25" t="s">
        <v>146</v>
      </c>
      <c r="F351" s="91" t="s">
        <v>30</v>
      </c>
      <c r="G351" s="22" t="s">
        <v>30</v>
      </c>
      <c r="H351" s="22" t="s">
        <v>30</v>
      </c>
      <c r="I351" s="92" t="str">
        <f t="shared" si="5"/>
        <v>N/A</v>
      </c>
      <c r="J351" s="16" t="s">
        <v>1196</v>
      </c>
      <c r="K351" s="16">
        <v>2021</v>
      </c>
      <c r="L351" s="16" t="s">
        <v>1197</v>
      </c>
      <c r="M351" s="16" t="s">
        <v>1198</v>
      </c>
      <c r="N351" s="16" t="s">
        <v>1199</v>
      </c>
      <c r="O351" s="16" t="s">
        <v>939</v>
      </c>
      <c r="P351" s="16" t="s">
        <v>27</v>
      </c>
      <c r="Q351" s="16" t="s">
        <v>28</v>
      </c>
    </row>
    <row r="352" spans="1:17" ht="30" customHeight="1">
      <c r="A352" s="15" t="s">
        <v>1200</v>
      </c>
      <c r="B352" s="24" t="s">
        <v>30</v>
      </c>
      <c r="C352" s="18" t="s">
        <v>1201</v>
      </c>
      <c r="D352" s="16" t="s">
        <v>1440</v>
      </c>
      <c r="E352" s="25" t="s">
        <v>20</v>
      </c>
      <c r="F352" s="23" t="s">
        <v>21</v>
      </c>
      <c r="G352" s="22" t="s">
        <v>22</v>
      </c>
      <c r="H352" s="22">
        <v>12</v>
      </c>
      <c r="I352" s="92">
        <f t="shared" si="5"/>
        <v>45861</v>
      </c>
      <c r="J352" s="16" t="s">
        <v>1202</v>
      </c>
      <c r="K352" s="16">
        <v>2021</v>
      </c>
      <c r="L352" s="16" t="s">
        <v>1203</v>
      </c>
      <c r="M352" s="16">
        <v>2117</v>
      </c>
      <c r="N352" s="16" t="s">
        <v>1204</v>
      </c>
      <c r="O352" s="16" t="s">
        <v>939</v>
      </c>
      <c r="P352" s="16" t="s">
        <v>27</v>
      </c>
      <c r="Q352" s="16" t="s">
        <v>28</v>
      </c>
    </row>
    <row r="353" spans="1:17" ht="30" customHeight="1">
      <c r="A353" s="15" t="s">
        <v>1205</v>
      </c>
      <c r="B353" s="24" t="s">
        <v>30</v>
      </c>
      <c r="C353" s="18" t="s">
        <v>972</v>
      </c>
      <c r="D353" s="16" t="s">
        <v>1440</v>
      </c>
      <c r="E353" s="25" t="s">
        <v>20</v>
      </c>
      <c r="F353" s="23" t="s">
        <v>21</v>
      </c>
      <c r="G353" s="22" t="s">
        <v>22</v>
      </c>
      <c r="H353" s="22">
        <v>12</v>
      </c>
      <c r="I353" s="92">
        <f t="shared" si="5"/>
        <v>45861</v>
      </c>
      <c r="J353" s="16" t="s">
        <v>234</v>
      </c>
      <c r="K353" s="16">
        <v>2021</v>
      </c>
      <c r="L353" s="16" t="s">
        <v>1206</v>
      </c>
      <c r="M353" s="16">
        <v>61105</v>
      </c>
      <c r="N353" s="16" t="s">
        <v>1207</v>
      </c>
      <c r="O353" s="16" t="s">
        <v>939</v>
      </c>
      <c r="P353" s="16" t="s">
        <v>27</v>
      </c>
      <c r="Q353" s="16" t="s">
        <v>28</v>
      </c>
    </row>
    <row r="354" spans="1:17" ht="30" customHeight="1">
      <c r="A354" s="15" t="s">
        <v>1208</v>
      </c>
      <c r="B354" s="24" t="s">
        <v>30</v>
      </c>
      <c r="C354" s="18" t="s">
        <v>1108</v>
      </c>
      <c r="D354" s="16" t="s">
        <v>1440</v>
      </c>
      <c r="E354" s="25" t="s">
        <v>20</v>
      </c>
      <c r="F354" s="23" t="s">
        <v>105</v>
      </c>
      <c r="G354" s="22" t="s">
        <v>22</v>
      </c>
      <c r="H354" s="22">
        <v>12</v>
      </c>
      <c r="I354" s="92">
        <f t="shared" si="5"/>
        <v>45862</v>
      </c>
      <c r="J354" s="16" t="s">
        <v>525</v>
      </c>
      <c r="K354" s="16">
        <v>2021</v>
      </c>
      <c r="L354" s="16" t="s">
        <v>1113</v>
      </c>
      <c r="M354" s="16">
        <v>55690</v>
      </c>
      <c r="N354" s="16" t="s">
        <v>1054</v>
      </c>
      <c r="O354" s="16" t="s">
        <v>939</v>
      </c>
      <c r="P354" s="16" t="s">
        <v>27</v>
      </c>
      <c r="Q354" s="16" t="s">
        <v>28</v>
      </c>
    </row>
    <row r="355" spans="1:17" ht="30" customHeight="1">
      <c r="A355" s="15" t="s">
        <v>1209</v>
      </c>
      <c r="B355" s="24" t="s">
        <v>1210</v>
      </c>
      <c r="C355" s="18" t="s">
        <v>972</v>
      </c>
      <c r="D355" s="16" t="s">
        <v>1440</v>
      </c>
      <c r="E355" s="25" t="s">
        <v>20</v>
      </c>
      <c r="F355" s="23" t="s">
        <v>85</v>
      </c>
      <c r="G355" s="22" t="s">
        <v>22</v>
      </c>
      <c r="H355" s="22">
        <v>12</v>
      </c>
      <c r="I355" s="92">
        <f t="shared" si="5"/>
        <v>45860</v>
      </c>
      <c r="J355" s="16" t="s">
        <v>234</v>
      </c>
      <c r="K355" s="16">
        <v>2021</v>
      </c>
      <c r="L355" s="16" t="s">
        <v>1211</v>
      </c>
      <c r="M355" s="16">
        <v>1</v>
      </c>
      <c r="N355" s="16" t="s">
        <v>1212</v>
      </c>
      <c r="O355" s="16" t="s">
        <v>939</v>
      </c>
      <c r="P355" s="16" t="s">
        <v>27</v>
      </c>
      <c r="Q355" s="16" t="s">
        <v>28</v>
      </c>
    </row>
    <row r="356" spans="1:17" ht="30" customHeight="1">
      <c r="A356" s="15" t="s">
        <v>1213</v>
      </c>
      <c r="B356" s="24" t="s">
        <v>1210</v>
      </c>
      <c r="C356" s="18" t="s">
        <v>972</v>
      </c>
      <c r="D356" s="16" t="s">
        <v>1440</v>
      </c>
      <c r="E356" s="25" t="s">
        <v>20</v>
      </c>
      <c r="F356" s="23" t="s">
        <v>85</v>
      </c>
      <c r="G356" s="22" t="s">
        <v>22</v>
      </c>
      <c r="H356" s="22">
        <v>12</v>
      </c>
      <c r="I356" s="92">
        <f t="shared" si="5"/>
        <v>45860</v>
      </c>
      <c r="J356" s="16" t="s">
        <v>234</v>
      </c>
      <c r="K356" s="16">
        <v>2021</v>
      </c>
      <c r="L356" s="16" t="s">
        <v>1211</v>
      </c>
      <c r="M356" s="16">
        <v>2</v>
      </c>
      <c r="N356" s="16" t="s">
        <v>1212</v>
      </c>
      <c r="O356" s="16" t="s">
        <v>939</v>
      </c>
      <c r="P356" s="16" t="s">
        <v>27</v>
      </c>
      <c r="Q356" s="16" t="s">
        <v>28</v>
      </c>
    </row>
    <row r="357" spans="1:17" ht="30" customHeight="1">
      <c r="A357" s="15" t="s">
        <v>1214</v>
      </c>
      <c r="B357" s="24" t="s">
        <v>1210</v>
      </c>
      <c r="C357" s="18" t="s">
        <v>972</v>
      </c>
      <c r="D357" s="16" t="s">
        <v>1440</v>
      </c>
      <c r="E357" s="25" t="s">
        <v>20</v>
      </c>
      <c r="F357" s="23" t="s">
        <v>85</v>
      </c>
      <c r="G357" s="22" t="s">
        <v>22</v>
      </c>
      <c r="H357" s="22">
        <v>12</v>
      </c>
      <c r="I357" s="92">
        <f t="shared" si="5"/>
        <v>45860</v>
      </c>
      <c r="J357" s="16" t="s">
        <v>234</v>
      </c>
      <c r="K357" s="16">
        <v>2021</v>
      </c>
      <c r="L357" s="16" t="s">
        <v>1211</v>
      </c>
      <c r="M357" s="16">
        <v>3</v>
      </c>
      <c r="N357" s="16" t="s">
        <v>1212</v>
      </c>
      <c r="O357" s="16" t="s">
        <v>939</v>
      </c>
      <c r="P357" s="16" t="s">
        <v>27</v>
      </c>
      <c r="Q357" s="16" t="s">
        <v>28</v>
      </c>
    </row>
    <row r="358" spans="1:17" ht="30" customHeight="1">
      <c r="A358" s="15" t="s">
        <v>1215</v>
      </c>
      <c r="B358" s="24" t="s">
        <v>1210</v>
      </c>
      <c r="C358" s="18" t="s">
        <v>972</v>
      </c>
      <c r="D358" s="16" t="s">
        <v>1440</v>
      </c>
      <c r="E358" s="25" t="s">
        <v>20</v>
      </c>
      <c r="F358" s="23" t="s">
        <v>85</v>
      </c>
      <c r="G358" s="22" t="s">
        <v>22</v>
      </c>
      <c r="H358" s="22">
        <v>12</v>
      </c>
      <c r="I358" s="92">
        <f t="shared" si="5"/>
        <v>45860</v>
      </c>
      <c r="J358" s="16" t="s">
        <v>234</v>
      </c>
      <c r="K358" s="16">
        <v>2021</v>
      </c>
      <c r="L358" s="16" t="s">
        <v>1211</v>
      </c>
      <c r="M358" s="16">
        <v>4</v>
      </c>
      <c r="N358" s="16" t="s">
        <v>1212</v>
      </c>
      <c r="O358" s="16" t="s">
        <v>939</v>
      </c>
      <c r="P358" s="16" t="s">
        <v>27</v>
      </c>
      <c r="Q358" s="16" t="s">
        <v>28</v>
      </c>
    </row>
    <row r="359" spans="1:17" ht="30" customHeight="1">
      <c r="A359" s="15" t="s">
        <v>1216</v>
      </c>
      <c r="B359" s="24" t="s">
        <v>1210</v>
      </c>
      <c r="C359" s="18" t="s">
        <v>972</v>
      </c>
      <c r="D359" s="16" t="s">
        <v>1440</v>
      </c>
      <c r="E359" s="25" t="s">
        <v>20</v>
      </c>
      <c r="F359" s="23" t="s">
        <v>85</v>
      </c>
      <c r="G359" s="22" t="s">
        <v>22</v>
      </c>
      <c r="H359" s="22">
        <v>12</v>
      </c>
      <c r="I359" s="92">
        <f t="shared" si="5"/>
        <v>45860</v>
      </c>
      <c r="J359" s="16" t="s">
        <v>234</v>
      </c>
      <c r="K359" s="16">
        <v>2021</v>
      </c>
      <c r="L359" s="16" t="s">
        <v>1211</v>
      </c>
      <c r="M359" s="16">
        <v>5</v>
      </c>
      <c r="N359" s="16" t="s">
        <v>1212</v>
      </c>
      <c r="O359" s="16" t="s">
        <v>939</v>
      </c>
      <c r="P359" s="16" t="s">
        <v>27</v>
      </c>
      <c r="Q359" s="16" t="s">
        <v>28</v>
      </c>
    </row>
    <row r="360" spans="1:17" ht="30" customHeight="1">
      <c r="A360" s="15" t="s">
        <v>1217</v>
      </c>
      <c r="B360" s="24" t="s">
        <v>1210</v>
      </c>
      <c r="C360" s="18" t="s">
        <v>972</v>
      </c>
      <c r="D360" s="16" t="s">
        <v>1440</v>
      </c>
      <c r="E360" s="25" t="s">
        <v>20</v>
      </c>
      <c r="F360" s="23" t="s">
        <v>85</v>
      </c>
      <c r="G360" s="22" t="s">
        <v>22</v>
      </c>
      <c r="H360" s="22">
        <v>12</v>
      </c>
      <c r="I360" s="92">
        <f t="shared" si="5"/>
        <v>45860</v>
      </c>
      <c r="J360" s="16" t="s">
        <v>234</v>
      </c>
      <c r="K360" s="16">
        <v>2021</v>
      </c>
      <c r="L360" s="16" t="s">
        <v>1211</v>
      </c>
      <c r="M360" s="16">
        <v>6</v>
      </c>
      <c r="N360" s="16" t="s">
        <v>1212</v>
      </c>
      <c r="O360" s="16" t="s">
        <v>939</v>
      </c>
      <c r="P360" s="16" t="s">
        <v>27</v>
      </c>
      <c r="Q360" s="16" t="s">
        <v>28</v>
      </c>
    </row>
    <row r="361" spans="1:17" ht="30" customHeight="1">
      <c r="A361" s="15" t="s">
        <v>1218</v>
      </c>
      <c r="B361" s="24" t="s">
        <v>1210</v>
      </c>
      <c r="C361" s="18" t="s">
        <v>972</v>
      </c>
      <c r="D361" s="16" t="s">
        <v>1440</v>
      </c>
      <c r="E361" s="25" t="s">
        <v>20</v>
      </c>
      <c r="F361" s="23" t="s">
        <v>85</v>
      </c>
      <c r="G361" s="22" t="s">
        <v>22</v>
      </c>
      <c r="H361" s="22">
        <v>12</v>
      </c>
      <c r="I361" s="92">
        <f t="shared" si="5"/>
        <v>45860</v>
      </c>
      <c r="J361" s="16" t="s">
        <v>234</v>
      </c>
      <c r="K361" s="16">
        <v>2021</v>
      </c>
      <c r="L361" s="16" t="s">
        <v>1211</v>
      </c>
      <c r="M361" s="16">
        <v>7</v>
      </c>
      <c r="N361" s="16" t="s">
        <v>1212</v>
      </c>
      <c r="O361" s="16" t="s">
        <v>939</v>
      </c>
      <c r="P361" s="16" t="s">
        <v>27</v>
      </c>
      <c r="Q361" s="16" t="s">
        <v>28</v>
      </c>
    </row>
    <row r="362" spans="1:17" ht="30" customHeight="1">
      <c r="A362" s="15" t="s">
        <v>1219</v>
      </c>
      <c r="B362" s="24" t="s">
        <v>1210</v>
      </c>
      <c r="C362" s="18" t="s">
        <v>972</v>
      </c>
      <c r="D362" s="16" t="s">
        <v>1440</v>
      </c>
      <c r="E362" s="25" t="s">
        <v>20</v>
      </c>
      <c r="F362" s="23" t="s">
        <v>85</v>
      </c>
      <c r="G362" s="22" t="s">
        <v>22</v>
      </c>
      <c r="H362" s="22">
        <v>12</v>
      </c>
      <c r="I362" s="92">
        <f t="shared" si="5"/>
        <v>45860</v>
      </c>
      <c r="J362" s="16" t="s">
        <v>234</v>
      </c>
      <c r="K362" s="16">
        <v>2021</v>
      </c>
      <c r="L362" s="16" t="s">
        <v>1211</v>
      </c>
      <c r="M362" s="16">
        <v>8</v>
      </c>
      <c r="N362" s="16" t="s">
        <v>1212</v>
      </c>
      <c r="O362" s="16" t="s">
        <v>939</v>
      </c>
      <c r="P362" s="16" t="s">
        <v>27</v>
      </c>
      <c r="Q362" s="16" t="s">
        <v>28</v>
      </c>
    </row>
    <row r="363" spans="1:17" ht="30" customHeight="1">
      <c r="A363" s="15" t="s">
        <v>1220</v>
      </c>
      <c r="B363" s="24" t="s">
        <v>1221</v>
      </c>
      <c r="C363" s="18" t="s">
        <v>1117</v>
      </c>
      <c r="D363" s="16" t="s">
        <v>1440</v>
      </c>
      <c r="E363" s="25" t="s">
        <v>20</v>
      </c>
      <c r="F363" s="23" t="s">
        <v>105</v>
      </c>
      <c r="G363" s="22" t="s">
        <v>22</v>
      </c>
      <c r="H363" s="22">
        <v>12</v>
      </c>
      <c r="I363" s="92">
        <f t="shared" si="5"/>
        <v>45862</v>
      </c>
      <c r="J363" s="16" t="s">
        <v>1118</v>
      </c>
      <c r="K363" s="16">
        <v>2021</v>
      </c>
      <c r="L363" s="16" t="s">
        <v>1119</v>
      </c>
      <c r="M363" s="16" t="s">
        <v>1222</v>
      </c>
      <c r="N363" s="16" t="s">
        <v>1121</v>
      </c>
      <c r="O363" s="16" t="s">
        <v>939</v>
      </c>
      <c r="P363" s="16" t="s">
        <v>27</v>
      </c>
      <c r="Q363" s="16" t="s">
        <v>28</v>
      </c>
    </row>
    <row r="364" spans="1:17" ht="30" customHeight="1">
      <c r="A364" s="15" t="s">
        <v>1223</v>
      </c>
      <c r="B364" s="24" t="s">
        <v>1224</v>
      </c>
      <c r="C364" s="18" t="s">
        <v>1117</v>
      </c>
      <c r="D364" s="16" t="s">
        <v>1440</v>
      </c>
      <c r="E364" s="25" t="s">
        <v>20</v>
      </c>
      <c r="F364" s="23" t="s">
        <v>105</v>
      </c>
      <c r="G364" s="22" t="s">
        <v>22</v>
      </c>
      <c r="H364" s="22">
        <v>12</v>
      </c>
      <c r="I364" s="92">
        <f t="shared" si="5"/>
        <v>45862</v>
      </c>
      <c r="J364" s="16" t="s">
        <v>1118</v>
      </c>
      <c r="K364" s="16">
        <v>2021</v>
      </c>
      <c r="L364" s="16" t="s">
        <v>1119</v>
      </c>
      <c r="M364" s="16" t="s">
        <v>1225</v>
      </c>
      <c r="N364" s="16" t="s">
        <v>1121</v>
      </c>
      <c r="O364" s="16" t="s">
        <v>939</v>
      </c>
      <c r="P364" s="16" t="s">
        <v>27</v>
      </c>
      <c r="Q364" s="16" t="s">
        <v>28</v>
      </c>
    </row>
    <row r="365" spans="1:17" ht="30" customHeight="1">
      <c r="A365" s="15" t="s">
        <v>1226</v>
      </c>
      <c r="B365" s="24" t="s">
        <v>1227</v>
      </c>
      <c r="C365" s="18" t="s">
        <v>1228</v>
      </c>
      <c r="D365" s="16" t="s">
        <v>1440</v>
      </c>
      <c r="E365" s="25" t="s">
        <v>20</v>
      </c>
      <c r="F365" s="23" t="s">
        <v>105</v>
      </c>
      <c r="G365" s="22" t="s">
        <v>1229</v>
      </c>
      <c r="H365" s="22">
        <v>12</v>
      </c>
      <c r="I365" s="92">
        <f t="shared" si="5"/>
        <v>45862</v>
      </c>
      <c r="J365" s="16" t="s">
        <v>23</v>
      </c>
      <c r="K365" s="16">
        <v>2021</v>
      </c>
      <c r="L365" s="16" t="s">
        <v>1230</v>
      </c>
      <c r="M365" s="16">
        <v>110251</v>
      </c>
      <c r="N365" s="16" t="s">
        <v>1231</v>
      </c>
      <c r="O365" s="16" t="s">
        <v>939</v>
      </c>
      <c r="P365" s="16" t="s">
        <v>27</v>
      </c>
      <c r="Q365" s="16" t="s">
        <v>28</v>
      </c>
    </row>
    <row r="366" spans="1:17" ht="30" customHeight="1">
      <c r="A366" s="15" t="s">
        <v>1232</v>
      </c>
      <c r="B366" s="24" t="s">
        <v>1233</v>
      </c>
      <c r="C366" s="18" t="s">
        <v>1234</v>
      </c>
      <c r="D366" s="16" t="s">
        <v>1440</v>
      </c>
      <c r="E366" s="25" t="s">
        <v>20</v>
      </c>
      <c r="F366" s="23" t="s">
        <v>1235</v>
      </c>
      <c r="G366" s="22" t="s">
        <v>22</v>
      </c>
      <c r="H366" s="22">
        <v>12</v>
      </c>
      <c r="I366" s="92">
        <f t="shared" si="5"/>
        <v>46026</v>
      </c>
      <c r="J366" s="16" t="s">
        <v>1196</v>
      </c>
      <c r="K366" s="16">
        <v>2022</v>
      </c>
      <c r="L366" s="16" t="s">
        <v>1236</v>
      </c>
      <c r="M366" s="16" t="s">
        <v>1237</v>
      </c>
      <c r="N366" s="16" t="s">
        <v>1238</v>
      </c>
      <c r="O366" s="16" t="s">
        <v>939</v>
      </c>
      <c r="P366" s="16" t="s">
        <v>27</v>
      </c>
      <c r="Q366" s="16" t="s">
        <v>28</v>
      </c>
    </row>
    <row r="367" spans="1:17" ht="30" customHeight="1">
      <c r="A367" s="15" t="s">
        <v>1239</v>
      </c>
      <c r="B367" s="24" t="s">
        <v>30</v>
      </c>
      <c r="C367" s="18" t="s">
        <v>802</v>
      </c>
      <c r="D367" s="16" t="s">
        <v>1440</v>
      </c>
      <c r="E367" s="25" t="s">
        <v>146</v>
      </c>
      <c r="F367" s="23" t="s">
        <v>30</v>
      </c>
      <c r="G367" s="23" t="s">
        <v>30</v>
      </c>
      <c r="H367" s="22" t="s">
        <v>30</v>
      </c>
      <c r="I367" s="92" t="str">
        <f t="shared" si="5"/>
        <v>N/A</v>
      </c>
      <c r="J367" s="16" t="s">
        <v>23</v>
      </c>
      <c r="K367" s="16">
        <v>2022</v>
      </c>
      <c r="L367" s="16" t="s">
        <v>803</v>
      </c>
      <c r="M367" s="16" t="s">
        <v>804</v>
      </c>
      <c r="N367" s="16" t="s">
        <v>36</v>
      </c>
      <c r="O367" s="16" t="s">
        <v>939</v>
      </c>
      <c r="P367" s="16" t="s">
        <v>27</v>
      </c>
      <c r="Q367" s="16" t="s">
        <v>28</v>
      </c>
    </row>
    <row r="368" spans="1:17" ht="30" customHeight="1">
      <c r="A368" s="15" t="s">
        <v>1240</v>
      </c>
      <c r="B368" s="24" t="s">
        <v>30</v>
      </c>
      <c r="C368" s="18" t="s">
        <v>806</v>
      </c>
      <c r="D368" s="16" t="s">
        <v>1440</v>
      </c>
      <c r="E368" s="25" t="s">
        <v>146</v>
      </c>
      <c r="F368" s="23" t="s">
        <v>30</v>
      </c>
      <c r="G368" s="23" t="s">
        <v>30</v>
      </c>
      <c r="H368" s="22" t="s">
        <v>30</v>
      </c>
      <c r="I368" s="92" t="str">
        <f t="shared" si="5"/>
        <v>N/A</v>
      </c>
      <c r="J368" s="16" t="s">
        <v>807</v>
      </c>
      <c r="K368" s="16">
        <v>2022</v>
      </c>
      <c r="L368" s="16" t="s">
        <v>808</v>
      </c>
      <c r="M368" s="16" t="s">
        <v>809</v>
      </c>
      <c r="N368" s="16" t="s">
        <v>36</v>
      </c>
      <c r="O368" s="16" t="s">
        <v>939</v>
      </c>
      <c r="P368" s="16" t="s">
        <v>27</v>
      </c>
      <c r="Q368" s="16" t="s">
        <v>28</v>
      </c>
    </row>
    <row r="369" spans="1:17" ht="30" customHeight="1">
      <c r="A369" s="15" t="s">
        <v>1241</v>
      </c>
      <c r="B369" s="24" t="s">
        <v>30</v>
      </c>
      <c r="C369" s="18" t="s">
        <v>66</v>
      </c>
      <c r="D369" s="16" t="s">
        <v>1440</v>
      </c>
      <c r="E369" s="25" t="s">
        <v>20</v>
      </c>
      <c r="F369" s="23" t="s">
        <v>105</v>
      </c>
      <c r="G369" s="22" t="s">
        <v>22</v>
      </c>
      <c r="H369" s="22">
        <v>12</v>
      </c>
      <c r="I369" s="92">
        <f t="shared" si="5"/>
        <v>45862</v>
      </c>
      <c r="J369" s="16" t="s">
        <v>1242</v>
      </c>
      <c r="K369" s="16">
        <v>2022</v>
      </c>
      <c r="L369" s="16" t="s">
        <v>1243</v>
      </c>
      <c r="M369" s="16">
        <v>9148221</v>
      </c>
      <c r="N369" s="16" t="s">
        <v>1244</v>
      </c>
      <c r="O369" s="16" t="s">
        <v>939</v>
      </c>
      <c r="P369" s="16" t="s">
        <v>27</v>
      </c>
      <c r="Q369" s="16" t="s">
        <v>28</v>
      </c>
    </row>
    <row r="370" spans="1:17" ht="30" customHeight="1">
      <c r="A370" s="15" t="s">
        <v>1245</v>
      </c>
      <c r="B370" s="24" t="s">
        <v>30</v>
      </c>
      <c r="C370" s="18" t="s">
        <v>1246</v>
      </c>
      <c r="D370" s="16" t="s">
        <v>1440</v>
      </c>
      <c r="E370" s="25" t="s">
        <v>20</v>
      </c>
      <c r="F370" s="23" t="s">
        <v>21</v>
      </c>
      <c r="G370" s="22" t="s">
        <v>22</v>
      </c>
      <c r="H370" s="22">
        <v>12</v>
      </c>
      <c r="I370" s="92">
        <f t="shared" si="5"/>
        <v>45861</v>
      </c>
      <c r="J370" s="16" t="s">
        <v>1247</v>
      </c>
      <c r="K370" s="16">
        <v>2022</v>
      </c>
      <c r="L370" s="16" t="s">
        <v>1248</v>
      </c>
      <c r="M370" s="16">
        <v>1</v>
      </c>
      <c r="N370" s="16" t="s">
        <v>1249</v>
      </c>
      <c r="O370" s="16" t="s">
        <v>939</v>
      </c>
      <c r="P370" s="16" t="s">
        <v>27</v>
      </c>
      <c r="Q370" s="16" t="s">
        <v>28</v>
      </c>
    </row>
    <row r="371" spans="1:17" ht="30" customHeight="1">
      <c r="A371" s="15" t="s">
        <v>1250</v>
      </c>
      <c r="B371" s="24" t="s">
        <v>30</v>
      </c>
      <c r="C371" s="18" t="s">
        <v>1246</v>
      </c>
      <c r="D371" s="16" t="s">
        <v>1440</v>
      </c>
      <c r="E371" s="25" t="s">
        <v>20</v>
      </c>
      <c r="F371" s="23" t="s">
        <v>21</v>
      </c>
      <c r="G371" s="22" t="s">
        <v>22</v>
      </c>
      <c r="H371" s="22">
        <v>12</v>
      </c>
      <c r="I371" s="92">
        <f t="shared" si="5"/>
        <v>45861</v>
      </c>
      <c r="J371" s="16" t="s">
        <v>1247</v>
      </c>
      <c r="K371" s="16">
        <v>2022</v>
      </c>
      <c r="L371" s="16" t="s">
        <v>1251</v>
      </c>
      <c r="M371" s="16">
        <v>1</v>
      </c>
      <c r="N371" s="16" t="s">
        <v>1252</v>
      </c>
      <c r="O371" s="16" t="s">
        <v>939</v>
      </c>
      <c r="P371" s="16" t="s">
        <v>27</v>
      </c>
      <c r="Q371" s="16" t="s">
        <v>28</v>
      </c>
    </row>
    <row r="372" spans="1:17" ht="30" customHeight="1">
      <c r="A372" s="15" t="s">
        <v>1253</v>
      </c>
      <c r="B372" s="24" t="s">
        <v>30</v>
      </c>
      <c r="C372" s="18" t="s">
        <v>1254</v>
      </c>
      <c r="D372" s="16" t="s">
        <v>1440</v>
      </c>
      <c r="E372" s="25" t="s">
        <v>146</v>
      </c>
      <c r="F372" s="23" t="s">
        <v>30</v>
      </c>
      <c r="G372" s="23" t="s">
        <v>30</v>
      </c>
      <c r="H372" s="22" t="s">
        <v>30</v>
      </c>
      <c r="I372" s="92" t="str">
        <f t="shared" si="5"/>
        <v>N/A</v>
      </c>
      <c r="J372" s="16" t="s">
        <v>1247</v>
      </c>
      <c r="K372" s="16">
        <v>2022</v>
      </c>
      <c r="L372" s="16" t="s">
        <v>1255</v>
      </c>
      <c r="M372" s="16">
        <v>1</v>
      </c>
      <c r="N372" s="16" t="s">
        <v>1249</v>
      </c>
      <c r="O372" s="16" t="s">
        <v>939</v>
      </c>
      <c r="P372" s="16" t="s">
        <v>37</v>
      </c>
      <c r="Q372" s="16" t="s">
        <v>28</v>
      </c>
    </row>
    <row r="373" spans="1:17" ht="30" customHeight="1">
      <c r="A373" s="15" t="s">
        <v>1256</v>
      </c>
      <c r="B373" s="24" t="s">
        <v>30</v>
      </c>
      <c r="C373" s="18" t="s">
        <v>1254</v>
      </c>
      <c r="D373" s="16" t="s">
        <v>1440</v>
      </c>
      <c r="E373" s="25" t="s">
        <v>146</v>
      </c>
      <c r="F373" s="23" t="s">
        <v>30</v>
      </c>
      <c r="G373" s="23" t="s">
        <v>30</v>
      </c>
      <c r="H373" s="22" t="s">
        <v>30</v>
      </c>
      <c r="I373" s="92" t="str">
        <f t="shared" si="5"/>
        <v>N/A</v>
      </c>
      <c r="J373" s="16" t="s">
        <v>1247</v>
      </c>
      <c r="K373" s="16">
        <v>2022</v>
      </c>
      <c r="L373" s="16" t="s">
        <v>1255</v>
      </c>
      <c r="M373" s="16">
        <v>2</v>
      </c>
      <c r="N373" s="16" t="s">
        <v>1249</v>
      </c>
      <c r="O373" s="16" t="s">
        <v>939</v>
      </c>
      <c r="P373" s="16" t="s">
        <v>37</v>
      </c>
      <c r="Q373" s="16" t="s">
        <v>28</v>
      </c>
    </row>
    <row r="374" spans="1:17" ht="30" customHeight="1">
      <c r="A374" s="15" t="s">
        <v>1257</v>
      </c>
      <c r="B374" s="24" t="s">
        <v>30</v>
      </c>
      <c r="C374" s="18" t="s">
        <v>1254</v>
      </c>
      <c r="D374" s="16" t="s">
        <v>1440</v>
      </c>
      <c r="E374" s="25" t="s">
        <v>146</v>
      </c>
      <c r="F374" s="23" t="s">
        <v>30</v>
      </c>
      <c r="G374" s="23" t="s">
        <v>30</v>
      </c>
      <c r="H374" s="22" t="s">
        <v>30</v>
      </c>
      <c r="I374" s="92" t="str">
        <f t="shared" si="5"/>
        <v>N/A</v>
      </c>
      <c r="J374" s="16" t="s">
        <v>1247</v>
      </c>
      <c r="K374" s="16">
        <v>2024</v>
      </c>
      <c r="L374" s="16" t="s">
        <v>1258</v>
      </c>
      <c r="M374" s="16">
        <v>1</v>
      </c>
      <c r="N374" s="16" t="s">
        <v>1259</v>
      </c>
      <c r="O374" s="16" t="s">
        <v>939</v>
      </c>
      <c r="P374" s="16" t="s">
        <v>37</v>
      </c>
      <c r="Q374" s="16" t="s">
        <v>28</v>
      </c>
    </row>
    <row r="375" spans="1:17" ht="30" customHeight="1">
      <c r="A375" s="15" t="s">
        <v>1260</v>
      </c>
      <c r="B375" s="24" t="s">
        <v>30</v>
      </c>
      <c r="C375" s="18" t="s">
        <v>1254</v>
      </c>
      <c r="D375" s="16" t="s">
        <v>1440</v>
      </c>
      <c r="E375" s="25" t="s">
        <v>146</v>
      </c>
      <c r="F375" s="91" t="s">
        <v>30</v>
      </c>
      <c r="G375" s="22" t="s">
        <v>30</v>
      </c>
      <c r="H375" s="22" t="s">
        <v>30</v>
      </c>
      <c r="I375" s="92" t="str">
        <f t="shared" si="5"/>
        <v>N/A</v>
      </c>
      <c r="J375" s="16" t="s">
        <v>1247</v>
      </c>
      <c r="K375" s="16">
        <v>2024</v>
      </c>
      <c r="L375" s="16" t="s">
        <v>1258</v>
      </c>
      <c r="M375" s="16">
        <v>2</v>
      </c>
      <c r="N375" s="16" t="s">
        <v>1259</v>
      </c>
      <c r="O375" s="16" t="s">
        <v>939</v>
      </c>
      <c r="P375" s="16" t="s">
        <v>37</v>
      </c>
      <c r="Q375" s="16" t="s">
        <v>28</v>
      </c>
    </row>
    <row r="376" spans="1:17" ht="30" customHeight="1">
      <c r="A376" s="15" t="s">
        <v>1261</v>
      </c>
      <c r="B376" s="24" t="s">
        <v>30</v>
      </c>
      <c r="C376" s="18" t="s">
        <v>1246</v>
      </c>
      <c r="D376" s="16" t="s">
        <v>1440</v>
      </c>
      <c r="E376" s="25" t="s">
        <v>20</v>
      </c>
      <c r="F376" s="91">
        <v>45660</v>
      </c>
      <c r="G376" s="22" t="s">
        <v>22</v>
      </c>
      <c r="H376" s="22">
        <v>12</v>
      </c>
      <c r="I376" s="92">
        <f t="shared" si="5"/>
        <v>46025</v>
      </c>
      <c r="J376" s="16" t="s">
        <v>1247</v>
      </c>
      <c r="K376" s="16">
        <v>2024</v>
      </c>
      <c r="L376" s="16" t="s">
        <v>1262</v>
      </c>
      <c r="M376" s="16">
        <v>1</v>
      </c>
      <c r="N376" s="16" t="s">
        <v>1263</v>
      </c>
      <c r="O376" s="16" t="s">
        <v>939</v>
      </c>
      <c r="P376" s="16" t="s">
        <v>27</v>
      </c>
      <c r="Q376" s="16" t="s">
        <v>28</v>
      </c>
    </row>
    <row r="377" spans="1:17" ht="30" customHeight="1">
      <c r="A377" s="15" t="s">
        <v>1264</v>
      </c>
      <c r="B377" s="24" t="s">
        <v>30</v>
      </c>
      <c r="C377" s="18" t="s">
        <v>1265</v>
      </c>
      <c r="D377" s="16" t="s">
        <v>1440</v>
      </c>
      <c r="E377" s="25" t="s">
        <v>32</v>
      </c>
      <c r="F377" s="91" t="s">
        <v>30</v>
      </c>
      <c r="G377" s="22" t="s">
        <v>30</v>
      </c>
      <c r="H377" s="22" t="s">
        <v>30</v>
      </c>
      <c r="I377" s="92" t="str">
        <f t="shared" si="5"/>
        <v>N/A</v>
      </c>
      <c r="J377" s="16" t="s">
        <v>1266</v>
      </c>
      <c r="K377" s="16">
        <v>2024</v>
      </c>
      <c r="L377" s="16" t="s">
        <v>1267</v>
      </c>
      <c r="M377" s="16" t="s">
        <v>36</v>
      </c>
      <c r="N377" s="16" t="s">
        <v>1268</v>
      </c>
      <c r="O377" s="16" t="s">
        <v>1269</v>
      </c>
      <c r="P377" s="16" t="s">
        <v>27</v>
      </c>
      <c r="Q377" s="16" t="s">
        <v>28</v>
      </c>
    </row>
    <row r="378" spans="1:17" ht="30" customHeight="1">
      <c r="A378" s="15" t="s">
        <v>1270</v>
      </c>
      <c r="B378" s="24" t="s">
        <v>30</v>
      </c>
      <c r="C378" s="18" t="s">
        <v>1271</v>
      </c>
      <c r="D378" s="16" t="s">
        <v>1440</v>
      </c>
      <c r="E378" s="25" t="s">
        <v>32</v>
      </c>
      <c r="F378" s="91" t="s">
        <v>30</v>
      </c>
      <c r="G378" s="22" t="s">
        <v>30</v>
      </c>
      <c r="H378" s="22" t="s">
        <v>30</v>
      </c>
      <c r="I378" s="92" t="str">
        <f t="shared" si="5"/>
        <v>N/A</v>
      </c>
      <c r="J378" s="16" t="s">
        <v>1272</v>
      </c>
      <c r="K378" s="16">
        <v>2024</v>
      </c>
      <c r="L378" s="16" t="s">
        <v>1273</v>
      </c>
      <c r="M378" s="16" t="s">
        <v>1274</v>
      </c>
      <c r="N378" s="16" t="s">
        <v>297</v>
      </c>
      <c r="O378" s="16" t="s">
        <v>1269</v>
      </c>
      <c r="P378" s="16" t="s">
        <v>27</v>
      </c>
      <c r="Q378" s="16" t="s">
        <v>28</v>
      </c>
    </row>
    <row r="379" spans="1:17" ht="30" customHeight="1">
      <c r="A379" s="15" t="s">
        <v>1275</v>
      </c>
      <c r="B379" s="24" t="s">
        <v>30</v>
      </c>
      <c r="C379" s="18" t="s">
        <v>1276</v>
      </c>
      <c r="D379" s="16" t="s">
        <v>1440</v>
      </c>
      <c r="E379" s="25" t="s">
        <v>32</v>
      </c>
      <c r="F379" s="91" t="s">
        <v>30</v>
      </c>
      <c r="G379" s="22" t="s">
        <v>30</v>
      </c>
      <c r="H379" s="22" t="s">
        <v>30</v>
      </c>
      <c r="I379" s="92" t="str">
        <f t="shared" si="5"/>
        <v>N/A</v>
      </c>
      <c r="J379" s="16" t="s">
        <v>1277</v>
      </c>
      <c r="K379" s="16">
        <v>2024</v>
      </c>
      <c r="L379" s="16" t="s">
        <v>1278</v>
      </c>
      <c r="M379" s="16" t="s">
        <v>1279</v>
      </c>
      <c r="N379" s="16" t="s">
        <v>1280</v>
      </c>
      <c r="O379" s="16" t="s">
        <v>1269</v>
      </c>
      <c r="P379" s="16" t="s">
        <v>37</v>
      </c>
      <c r="Q379" s="16" t="s">
        <v>28</v>
      </c>
    </row>
    <row r="380" spans="1:17" ht="30" customHeight="1">
      <c r="A380" s="15" t="s">
        <v>1281</v>
      </c>
      <c r="B380" s="24" t="s">
        <v>30</v>
      </c>
      <c r="C380" s="18" t="s">
        <v>66</v>
      </c>
      <c r="D380" s="16" t="s">
        <v>1440</v>
      </c>
      <c r="E380" s="25" t="s">
        <v>20</v>
      </c>
      <c r="F380" s="23" t="s">
        <v>126</v>
      </c>
      <c r="G380" s="22" t="s">
        <v>22</v>
      </c>
      <c r="H380" s="22">
        <v>12</v>
      </c>
      <c r="I380" s="92">
        <f t="shared" si="5"/>
        <v>45863</v>
      </c>
      <c r="J380" s="16" t="s">
        <v>928</v>
      </c>
      <c r="K380" s="16">
        <v>2024</v>
      </c>
      <c r="L380" s="16" t="s">
        <v>1282</v>
      </c>
      <c r="M380" s="16">
        <v>23576</v>
      </c>
      <c r="N380" s="16" t="s">
        <v>930</v>
      </c>
      <c r="O380" s="16" t="s">
        <v>90</v>
      </c>
      <c r="P380" s="16" t="s">
        <v>27</v>
      </c>
      <c r="Q380" s="16" t="s">
        <v>28</v>
      </c>
    </row>
    <row r="381" spans="1:17" ht="30" customHeight="1">
      <c r="A381" s="15" t="s">
        <v>1283</v>
      </c>
      <c r="B381" s="24" t="s">
        <v>30</v>
      </c>
      <c r="C381" s="18" t="s">
        <v>130</v>
      </c>
      <c r="D381" s="16" t="s">
        <v>1440</v>
      </c>
      <c r="E381" s="25" t="s">
        <v>20</v>
      </c>
      <c r="F381" s="23" t="s">
        <v>105</v>
      </c>
      <c r="G381" s="22" t="s">
        <v>22</v>
      </c>
      <c r="H381" s="22">
        <v>12</v>
      </c>
      <c r="I381" s="92">
        <f t="shared" si="5"/>
        <v>45862</v>
      </c>
      <c r="J381" s="16" t="s">
        <v>131</v>
      </c>
      <c r="K381" s="16">
        <v>2024</v>
      </c>
      <c r="L381" s="16" t="s">
        <v>132</v>
      </c>
      <c r="M381" s="16" t="s">
        <v>1284</v>
      </c>
      <c r="N381" s="16" t="s">
        <v>134</v>
      </c>
      <c r="O381" s="16" t="s">
        <v>1269</v>
      </c>
      <c r="P381" s="16" t="s">
        <v>27</v>
      </c>
      <c r="Q381" s="16" t="s">
        <v>28</v>
      </c>
    </row>
    <row r="382" spans="1:17" ht="30" customHeight="1">
      <c r="A382" s="15" t="s">
        <v>1285</v>
      </c>
      <c r="B382" s="24" t="s">
        <v>30</v>
      </c>
      <c r="C382" s="18" t="s">
        <v>130</v>
      </c>
      <c r="D382" s="16" t="s">
        <v>1440</v>
      </c>
      <c r="E382" s="25" t="s">
        <v>20</v>
      </c>
      <c r="F382" s="23" t="s">
        <v>105</v>
      </c>
      <c r="G382" s="22" t="s">
        <v>22</v>
      </c>
      <c r="H382" s="22">
        <v>12</v>
      </c>
      <c r="I382" s="92">
        <f t="shared" si="5"/>
        <v>45862</v>
      </c>
      <c r="J382" s="16" t="s">
        <v>131</v>
      </c>
      <c r="K382" s="16">
        <v>2024</v>
      </c>
      <c r="L382" s="16" t="s">
        <v>132</v>
      </c>
      <c r="M382" s="16" t="s">
        <v>1286</v>
      </c>
      <c r="N382" s="16" t="s">
        <v>134</v>
      </c>
      <c r="O382" s="16" t="s">
        <v>1269</v>
      </c>
      <c r="P382" s="16" t="s">
        <v>27</v>
      </c>
      <c r="Q382" s="16" t="s">
        <v>28</v>
      </c>
    </row>
    <row r="383" spans="1:17" ht="21.9" customHeight="1">
      <c r="A383" s="14" t="s">
        <v>1287</v>
      </c>
      <c r="D383" s="16"/>
    </row>
  </sheetData>
  <autoFilter ref="A2:Q383" xr:uid="{00000000-0009-0000-0000-000000000000}"/>
  <phoneticPr fontId="6" type="noConversion"/>
  <conditionalFormatting sqref="I3:I382">
    <cfRule type="cellIs" dxfId="6" priority="1" operator="lessThan">
      <formula>#REF!</formula>
    </cfRule>
  </conditionalFormatting>
  <printOptions horizontalCentered="1" verticalCentered="1"/>
  <pageMargins left="0.7" right="0.7" top="0.75" bottom="0.75" header="0.3" footer="0.3"/>
  <pageSetup paperSize="9" scale="24" fitToHeight="0" orientation="landscape" r:id="rId1"/>
  <rowBreaks count="6" manualBreakCount="6">
    <brk id="54" max="15" man="1"/>
    <brk id="109" max="15" man="1"/>
    <brk id="164" max="15" man="1"/>
    <brk id="219" max="15" man="1"/>
    <brk id="274" max="15" man="1"/>
    <brk id="329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="115" zoomScaleNormal="115" workbookViewId="0">
      <selection activeCell="A10" sqref="A10"/>
    </sheetView>
  </sheetViews>
  <sheetFormatPr defaultRowHeight="17.399999999999999"/>
  <cols>
    <col min="1" max="1" width="12.59765625" style="4" customWidth="1"/>
    <col min="2" max="2" width="45.59765625" style="4" customWidth="1"/>
    <col min="3" max="3" width="12.59765625" style="4" customWidth="1"/>
    <col min="4" max="4" width="10.59765625" style="4" customWidth="1"/>
    <col min="5" max="5" width="12.59765625" style="4" customWidth="1"/>
    <col min="6" max="6" width="10.59765625" style="4" customWidth="1"/>
    <col min="7" max="7" width="24.59765625" style="4" customWidth="1"/>
    <col min="8" max="8" width="26.59765625" style="4" bestFit="1" customWidth="1"/>
    <col min="9" max="9" width="21.59765625" style="4" customWidth="1"/>
    <col min="10" max="10" width="25.59765625" style="4" customWidth="1"/>
    <col min="11" max="11" width="7.59765625" style="4" customWidth="1"/>
    <col min="12" max="12" width="40.59765625" style="4" customWidth="1"/>
  </cols>
  <sheetData>
    <row r="1" spans="1:12" s="1" customFormat="1" ht="30.6" customHeight="1" thickBot="1">
      <c r="A1" s="49" t="s">
        <v>1</v>
      </c>
      <c r="B1" s="49" t="s">
        <v>3</v>
      </c>
      <c r="C1" s="49" t="s">
        <v>5</v>
      </c>
      <c r="D1" s="49" t="s">
        <v>1288</v>
      </c>
      <c r="E1" s="49" t="s">
        <v>8</v>
      </c>
      <c r="F1" s="49" t="s">
        <v>6</v>
      </c>
      <c r="G1" s="49" t="s">
        <v>9</v>
      </c>
      <c r="H1" s="49" t="s">
        <v>11</v>
      </c>
      <c r="I1" s="49" t="s">
        <v>12</v>
      </c>
      <c r="J1" s="49" t="s">
        <v>13</v>
      </c>
      <c r="K1" s="49" t="s">
        <v>14</v>
      </c>
      <c r="L1" s="49" t="s">
        <v>1289</v>
      </c>
    </row>
    <row r="2" spans="1:12" ht="17.25" customHeight="1" thickTop="1">
      <c r="A2" s="50" t="s">
        <v>488</v>
      </c>
      <c r="B2" s="50" t="s">
        <v>304</v>
      </c>
      <c r="C2" s="51" t="s">
        <v>1290</v>
      </c>
      <c r="D2" s="51" t="s">
        <v>1290</v>
      </c>
      <c r="E2" s="51" t="s">
        <v>1290</v>
      </c>
      <c r="F2" s="51" t="s">
        <v>1290</v>
      </c>
      <c r="G2" s="50" t="s">
        <v>56</v>
      </c>
      <c r="H2" s="50">
        <v>3115</v>
      </c>
      <c r="I2" s="50" t="s">
        <v>123</v>
      </c>
      <c r="J2" s="50" t="s">
        <v>58</v>
      </c>
      <c r="K2" s="50" t="s">
        <v>26</v>
      </c>
      <c r="L2" s="52" t="s">
        <v>1290</v>
      </c>
    </row>
    <row r="3" spans="1:12">
      <c r="A3" s="50" t="s">
        <v>593</v>
      </c>
      <c r="B3" s="50" t="s">
        <v>208</v>
      </c>
      <c r="C3" s="51" t="s">
        <v>1290</v>
      </c>
      <c r="D3" s="51" t="s">
        <v>1290</v>
      </c>
      <c r="E3" s="51" t="s">
        <v>1290</v>
      </c>
      <c r="F3" s="51" t="s">
        <v>1290</v>
      </c>
      <c r="G3" s="50" t="s">
        <v>525</v>
      </c>
      <c r="H3" s="50" t="s">
        <v>595</v>
      </c>
      <c r="I3" s="50" t="s">
        <v>596</v>
      </c>
      <c r="J3" s="50" t="s">
        <v>536</v>
      </c>
      <c r="K3" s="50" t="s">
        <v>1291</v>
      </c>
      <c r="L3" s="52" t="s">
        <v>1290</v>
      </c>
    </row>
    <row r="4" spans="1:12">
      <c r="A4" s="50" t="s">
        <v>597</v>
      </c>
      <c r="B4" s="50" t="s">
        <v>599</v>
      </c>
      <c r="C4" s="51" t="s">
        <v>1290</v>
      </c>
      <c r="D4" s="51" t="s">
        <v>1290</v>
      </c>
      <c r="E4" s="51" t="s">
        <v>1290</v>
      </c>
      <c r="F4" s="51" t="s">
        <v>1290</v>
      </c>
      <c r="G4" s="50" t="s">
        <v>525</v>
      </c>
      <c r="H4" s="50" t="s">
        <v>600</v>
      </c>
      <c r="I4" s="50" t="s">
        <v>601</v>
      </c>
      <c r="J4" s="50" t="s">
        <v>602</v>
      </c>
      <c r="K4" s="50" t="s">
        <v>1291</v>
      </c>
      <c r="L4" s="52" t="s">
        <v>1290</v>
      </c>
    </row>
    <row r="5" spans="1:12">
      <c r="A5" s="50" t="s">
        <v>603</v>
      </c>
      <c r="B5" s="50" t="s">
        <v>605</v>
      </c>
      <c r="C5" s="51" t="s">
        <v>1290</v>
      </c>
      <c r="D5" s="51" t="s">
        <v>1290</v>
      </c>
      <c r="E5" s="51" t="s">
        <v>1290</v>
      </c>
      <c r="F5" s="51" t="s">
        <v>1290</v>
      </c>
      <c r="G5" s="50" t="s">
        <v>525</v>
      </c>
      <c r="H5" s="50" t="s">
        <v>607</v>
      </c>
      <c r="I5" s="50" t="s">
        <v>608</v>
      </c>
      <c r="J5" s="50" t="s">
        <v>609</v>
      </c>
      <c r="K5" s="50" t="s">
        <v>1291</v>
      </c>
      <c r="L5" s="52" t="s">
        <v>1290</v>
      </c>
    </row>
    <row r="6" spans="1:12">
      <c r="A6" s="50" t="s">
        <v>644</v>
      </c>
      <c r="B6" s="50" t="s">
        <v>646</v>
      </c>
      <c r="C6" s="51" t="s">
        <v>1290</v>
      </c>
      <c r="D6" s="51" t="s">
        <v>1290</v>
      </c>
      <c r="E6" s="51" t="s">
        <v>1290</v>
      </c>
      <c r="F6" s="51" t="s">
        <v>1290</v>
      </c>
      <c r="G6" s="50" t="s">
        <v>647</v>
      </c>
      <c r="H6" s="50" t="s">
        <v>648</v>
      </c>
      <c r="I6" s="50" t="s">
        <v>649</v>
      </c>
      <c r="J6" s="50"/>
      <c r="K6" s="50" t="s">
        <v>1291</v>
      </c>
      <c r="L6" s="52" t="s">
        <v>1290</v>
      </c>
    </row>
    <row r="7" spans="1:12">
      <c r="A7" s="50" t="s">
        <v>650</v>
      </c>
      <c r="B7" s="50" t="s">
        <v>651</v>
      </c>
      <c r="C7" s="51" t="s">
        <v>1290</v>
      </c>
      <c r="D7" s="51" t="s">
        <v>1290</v>
      </c>
      <c r="E7" s="51" t="s">
        <v>1290</v>
      </c>
      <c r="F7" s="51" t="s">
        <v>1290</v>
      </c>
      <c r="G7" s="50" t="s">
        <v>652</v>
      </c>
      <c r="H7" s="50" t="s">
        <v>653</v>
      </c>
      <c r="I7" s="50" t="s">
        <v>654</v>
      </c>
      <c r="J7" s="50"/>
      <c r="K7" s="50" t="s">
        <v>1291</v>
      </c>
      <c r="L7" s="52" t="s">
        <v>1290</v>
      </c>
    </row>
    <row r="8" spans="1:12">
      <c r="A8" s="50" t="s">
        <v>655</v>
      </c>
      <c r="B8" s="50" t="s">
        <v>651</v>
      </c>
      <c r="C8" s="51" t="s">
        <v>1290</v>
      </c>
      <c r="D8" s="51" t="s">
        <v>1290</v>
      </c>
      <c r="E8" s="51" t="s">
        <v>1290</v>
      </c>
      <c r="F8" s="51" t="s">
        <v>1290</v>
      </c>
      <c r="G8" s="50" t="s">
        <v>652</v>
      </c>
      <c r="H8" s="50" t="s">
        <v>653</v>
      </c>
      <c r="I8" s="50" t="s">
        <v>656</v>
      </c>
      <c r="J8" s="50"/>
      <c r="K8" s="50" t="s">
        <v>1291</v>
      </c>
      <c r="L8" s="52" t="s">
        <v>1290</v>
      </c>
    </row>
    <row r="9" spans="1:12">
      <c r="A9" s="50" t="s">
        <v>657</v>
      </c>
      <c r="B9" s="50" t="s">
        <v>487</v>
      </c>
      <c r="C9" s="51" t="s">
        <v>1290</v>
      </c>
      <c r="D9" s="51" t="s">
        <v>1290</v>
      </c>
      <c r="E9" s="51" t="s">
        <v>1290</v>
      </c>
      <c r="F9" s="51" t="s">
        <v>1290</v>
      </c>
      <c r="G9" s="50" t="s">
        <v>658</v>
      </c>
      <c r="H9" s="53" t="s">
        <v>659</v>
      </c>
      <c r="I9" s="50">
        <v>15542</v>
      </c>
      <c r="J9" s="50"/>
      <c r="K9" s="50" t="s">
        <v>1291</v>
      </c>
      <c r="L9" s="52" t="s">
        <v>1290</v>
      </c>
    </row>
    <row r="10" spans="1:12">
      <c r="A10" s="50" t="s">
        <v>700</v>
      </c>
      <c r="B10" s="50" t="s">
        <v>214</v>
      </c>
      <c r="C10" s="51" t="s">
        <v>1290</v>
      </c>
      <c r="D10" s="51" t="s">
        <v>1290</v>
      </c>
      <c r="E10" s="51" t="s">
        <v>1290</v>
      </c>
      <c r="F10" s="51" t="s">
        <v>1290</v>
      </c>
      <c r="G10" s="50" t="s">
        <v>703</v>
      </c>
      <c r="H10" s="50">
        <v>25110</v>
      </c>
      <c r="I10" s="50">
        <v>266894</v>
      </c>
      <c r="J10" s="50" t="s">
        <v>536</v>
      </c>
      <c r="K10" s="50" t="s">
        <v>1291</v>
      </c>
      <c r="L10" s="52" t="s">
        <v>1290</v>
      </c>
    </row>
    <row r="11" spans="1:12">
      <c r="A11" s="50" t="s">
        <v>704</v>
      </c>
      <c r="B11" s="50" t="s">
        <v>214</v>
      </c>
      <c r="C11" s="51" t="s">
        <v>1290</v>
      </c>
      <c r="D11" s="51" t="s">
        <v>1290</v>
      </c>
      <c r="E11" s="51" t="s">
        <v>1290</v>
      </c>
      <c r="F11" s="51" t="s">
        <v>1290</v>
      </c>
      <c r="G11" s="50" t="s">
        <v>706</v>
      </c>
      <c r="H11" s="50" t="s">
        <v>707</v>
      </c>
      <c r="I11" s="50" t="s">
        <v>708</v>
      </c>
      <c r="J11" s="50" t="s">
        <v>536</v>
      </c>
      <c r="K11" s="50" t="s">
        <v>1291</v>
      </c>
      <c r="L11" s="52" t="s">
        <v>1290</v>
      </c>
    </row>
    <row r="12" spans="1:12">
      <c r="A12" s="50" t="s">
        <v>709</v>
      </c>
      <c r="B12" s="50" t="s">
        <v>711</v>
      </c>
      <c r="C12" s="51" t="s">
        <v>1290</v>
      </c>
      <c r="D12" s="51" t="s">
        <v>1290</v>
      </c>
      <c r="E12" s="51" t="s">
        <v>1290</v>
      </c>
      <c r="F12" s="51" t="s">
        <v>1290</v>
      </c>
      <c r="G12" s="50" t="s">
        <v>706</v>
      </c>
      <c r="H12" s="50" t="s">
        <v>712</v>
      </c>
      <c r="I12" s="50" t="s">
        <v>708</v>
      </c>
      <c r="J12" s="50" t="s">
        <v>536</v>
      </c>
      <c r="K12" s="50" t="s">
        <v>1291</v>
      </c>
      <c r="L12" s="52" t="s">
        <v>1290</v>
      </c>
    </row>
    <row r="13" spans="1:12">
      <c r="A13" s="50" t="s">
        <v>713</v>
      </c>
      <c r="B13" s="50" t="s">
        <v>714</v>
      </c>
      <c r="C13" s="51" t="s">
        <v>1290</v>
      </c>
      <c r="D13" s="51" t="s">
        <v>1290</v>
      </c>
      <c r="E13" s="51" t="s">
        <v>1290</v>
      </c>
      <c r="F13" s="51" t="s">
        <v>1290</v>
      </c>
      <c r="G13" s="50" t="s">
        <v>715</v>
      </c>
      <c r="H13" s="50" t="s">
        <v>716</v>
      </c>
      <c r="I13" s="54" t="s">
        <v>1292</v>
      </c>
      <c r="J13" s="50" t="s">
        <v>536</v>
      </c>
      <c r="K13" s="50" t="s">
        <v>1291</v>
      </c>
      <c r="L13" s="52" t="s">
        <v>1290</v>
      </c>
    </row>
    <row r="14" spans="1:12">
      <c r="A14" s="50" t="s">
        <v>717</v>
      </c>
      <c r="B14" s="50" t="s">
        <v>714</v>
      </c>
      <c r="C14" s="51" t="s">
        <v>1290</v>
      </c>
      <c r="D14" s="51" t="s">
        <v>1290</v>
      </c>
      <c r="E14" s="51" t="s">
        <v>1290</v>
      </c>
      <c r="F14" s="51" t="s">
        <v>1290</v>
      </c>
      <c r="G14" s="50" t="s">
        <v>715</v>
      </c>
      <c r="H14" s="50" t="s">
        <v>716</v>
      </c>
      <c r="I14" s="54" t="s">
        <v>1293</v>
      </c>
      <c r="J14" s="50" t="s">
        <v>536</v>
      </c>
      <c r="K14" s="50" t="s">
        <v>1291</v>
      </c>
      <c r="L14" s="52" t="s">
        <v>1290</v>
      </c>
    </row>
    <row r="15" spans="1:12">
      <c r="A15" s="50" t="s">
        <v>718</v>
      </c>
      <c r="B15" s="50" t="s">
        <v>714</v>
      </c>
      <c r="C15" s="51" t="s">
        <v>1290</v>
      </c>
      <c r="D15" s="51" t="s">
        <v>1290</v>
      </c>
      <c r="E15" s="51" t="s">
        <v>1290</v>
      </c>
      <c r="F15" s="51" t="s">
        <v>1290</v>
      </c>
      <c r="G15" s="50" t="s">
        <v>715</v>
      </c>
      <c r="H15" s="50" t="s">
        <v>719</v>
      </c>
      <c r="I15" s="54" t="s">
        <v>1294</v>
      </c>
      <c r="J15" s="50" t="s">
        <v>536</v>
      </c>
      <c r="K15" s="50" t="s">
        <v>1291</v>
      </c>
      <c r="L15" s="52" t="s">
        <v>1290</v>
      </c>
    </row>
  </sheetData>
  <phoneticPr fontId="6" type="noConversion"/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zoomScale="85" zoomScaleNormal="85" workbookViewId="0">
      <selection activeCell="A10" sqref="A10"/>
    </sheetView>
  </sheetViews>
  <sheetFormatPr defaultRowHeight="17.399999999999999"/>
  <cols>
    <col min="1" max="1" width="12.59765625" style="4" customWidth="1"/>
    <col min="2" max="2" width="45.59765625" style="4" customWidth="1"/>
    <col min="3" max="3" width="12.59765625" style="4" customWidth="1"/>
    <col min="4" max="4" width="10.59765625" style="4" customWidth="1"/>
    <col min="5" max="5" width="12.59765625" style="4" customWidth="1"/>
    <col min="6" max="6" width="10.59765625" style="4" customWidth="1"/>
    <col min="7" max="7" width="24.59765625" style="4" customWidth="1"/>
    <col min="8" max="8" width="26.59765625" style="4" bestFit="1" customWidth="1"/>
    <col min="9" max="9" width="21.59765625" style="4" customWidth="1"/>
    <col min="10" max="10" width="25.59765625" style="4" customWidth="1"/>
    <col min="11" max="11" width="7.59765625" style="4" customWidth="1"/>
    <col min="12" max="12" width="40.59765625" style="4" customWidth="1"/>
  </cols>
  <sheetData>
    <row r="1" spans="1:12" s="1" customFormat="1" ht="30.6" customHeight="1" thickBot="1">
      <c r="A1" s="49" t="s">
        <v>1</v>
      </c>
      <c r="B1" s="49" t="s">
        <v>3</v>
      </c>
      <c r="C1" s="49" t="s">
        <v>5</v>
      </c>
      <c r="D1" s="49" t="s">
        <v>1288</v>
      </c>
      <c r="E1" s="49" t="s">
        <v>8</v>
      </c>
      <c r="F1" s="49" t="s">
        <v>6</v>
      </c>
      <c r="G1" s="49" t="s">
        <v>9</v>
      </c>
      <c r="H1" s="49" t="s">
        <v>11</v>
      </c>
      <c r="I1" s="49" t="s">
        <v>12</v>
      </c>
      <c r="J1" s="49" t="s">
        <v>13</v>
      </c>
      <c r="K1" s="49" t="s">
        <v>14</v>
      </c>
      <c r="L1" s="49" t="s">
        <v>1289</v>
      </c>
    </row>
    <row r="2" spans="1:12" ht="17.25" customHeight="1" thickTop="1">
      <c r="A2" s="55" t="s">
        <v>29</v>
      </c>
      <c r="B2" s="55" t="s">
        <v>1295</v>
      </c>
      <c r="C2" s="56" t="s">
        <v>30</v>
      </c>
      <c r="D2" s="56" t="s">
        <v>30</v>
      </c>
      <c r="E2" s="56" t="s">
        <v>30</v>
      </c>
      <c r="F2" s="56" t="s">
        <v>30</v>
      </c>
      <c r="G2" s="55" t="s">
        <v>33</v>
      </c>
      <c r="H2" s="55" t="s">
        <v>34</v>
      </c>
      <c r="I2" s="55" t="s">
        <v>1296</v>
      </c>
      <c r="J2" s="55"/>
      <c r="K2" s="55" t="s">
        <v>26</v>
      </c>
      <c r="L2" s="57" t="s">
        <v>1297</v>
      </c>
    </row>
    <row r="3" spans="1:12">
      <c r="A3" s="55" t="s">
        <v>38</v>
      </c>
      <c r="B3" s="55" t="s">
        <v>40</v>
      </c>
      <c r="C3" s="56" t="s">
        <v>30</v>
      </c>
      <c r="D3" s="56" t="s">
        <v>30</v>
      </c>
      <c r="E3" s="56" t="s">
        <v>30</v>
      </c>
      <c r="F3" s="56" t="s">
        <v>30</v>
      </c>
      <c r="G3" s="55" t="s">
        <v>41</v>
      </c>
      <c r="H3" s="55" t="s">
        <v>42</v>
      </c>
      <c r="I3" s="55" t="s">
        <v>43</v>
      </c>
      <c r="J3" s="55"/>
      <c r="K3" s="55" t="s">
        <v>26</v>
      </c>
      <c r="L3" s="57" t="s">
        <v>1297</v>
      </c>
    </row>
    <row r="4" spans="1:12">
      <c r="A4" s="55" t="s">
        <v>71</v>
      </c>
      <c r="B4" s="55" t="s">
        <v>72</v>
      </c>
      <c r="C4" s="56" t="s">
        <v>30</v>
      </c>
      <c r="D4" s="56" t="s">
        <v>30</v>
      </c>
      <c r="E4" s="56" t="s">
        <v>30</v>
      </c>
      <c r="F4" s="56" t="s">
        <v>30</v>
      </c>
      <c r="G4" s="55" t="s">
        <v>41</v>
      </c>
      <c r="H4" s="55" t="s">
        <v>73</v>
      </c>
      <c r="I4" s="55" t="s">
        <v>30</v>
      </c>
      <c r="J4" s="55"/>
      <c r="K4" s="55" t="s">
        <v>26</v>
      </c>
      <c r="L4" s="57" t="s">
        <v>1297</v>
      </c>
    </row>
    <row r="5" spans="1:12">
      <c r="A5" s="55" t="s">
        <v>74</v>
      </c>
      <c r="B5" s="55" t="s">
        <v>1298</v>
      </c>
      <c r="C5" s="56" t="s">
        <v>30</v>
      </c>
      <c r="D5" s="56" t="s">
        <v>30</v>
      </c>
      <c r="E5" s="56" t="s">
        <v>30</v>
      </c>
      <c r="F5" s="56" t="s">
        <v>30</v>
      </c>
      <c r="G5" s="55" t="s">
        <v>41</v>
      </c>
      <c r="H5" s="55" t="s">
        <v>76</v>
      </c>
      <c r="I5" s="55" t="s">
        <v>30</v>
      </c>
      <c r="J5" s="55"/>
      <c r="K5" s="55" t="s">
        <v>26</v>
      </c>
      <c r="L5" s="57" t="s">
        <v>1297</v>
      </c>
    </row>
    <row r="6" spans="1:12">
      <c r="A6" s="55" t="s">
        <v>77</v>
      </c>
      <c r="B6" s="55" t="s">
        <v>1299</v>
      </c>
      <c r="C6" s="56" t="s">
        <v>30</v>
      </c>
      <c r="D6" s="56" t="s">
        <v>30</v>
      </c>
      <c r="E6" s="56" t="s">
        <v>30</v>
      </c>
      <c r="F6" s="56" t="s">
        <v>30</v>
      </c>
      <c r="G6" s="55" t="s">
        <v>41</v>
      </c>
      <c r="H6" s="55" t="s">
        <v>79</v>
      </c>
      <c r="I6" s="55" t="s">
        <v>30</v>
      </c>
      <c r="J6" s="55"/>
      <c r="K6" s="55" t="s">
        <v>26</v>
      </c>
      <c r="L6" s="57" t="s">
        <v>1297</v>
      </c>
    </row>
    <row r="7" spans="1:12">
      <c r="A7" s="55" t="s">
        <v>80</v>
      </c>
      <c r="B7" s="55" t="s">
        <v>1299</v>
      </c>
      <c r="C7" s="56" t="s">
        <v>30</v>
      </c>
      <c r="D7" s="56" t="s">
        <v>30</v>
      </c>
      <c r="E7" s="56" t="s">
        <v>30</v>
      </c>
      <c r="F7" s="56" t="s">
        <v>30</v>
      </c>
      <c r="G7" s="55" t="s">
        <v>41</v>
      </c>
      <c r="H7" s="55" t="s">
        <v>82</v>
      </c>
      <c r="I7" s="55" t="s">
        <v>30</v>
      </c>
      <c r="J7" s="55"/>
      <c r="K7" s="55" t="s">
        <v>26</v>
      </c>
      <c r="L7" s="57" t="s">
        <v>1297</v>
      </c>
    </row>
    <row r="8" spans="1:12">
      <c r="A8" s="55" t="s">
        <v>98</v>
      </c>
      <c r="B8" s="55" t="s">
        <v>1300</v>
      </c>
      <c r="C8" s="56" t="s">
        <v>30</v>
      </c>
      <c r="D8" s="56" t="s">
        <v>30</v>
      </c>
      <c r="E8" s="56" t="s">
        <v>30</v>
      </c>
      <c r="F8" s="56" t="s">
        <v>30</v>
      </c>
      <c r="G8" s="55" t="s">
        <v>23</v>
      </c>
      <c r="H8" s="55" t="s">
        <v>100</v>
      </c>
      <c r="I8" s="55" t="s">
        <v>30</v>
      </c>
      <c r="J8" s="55" t="s">
        <v>101</v>
      </c>
      <c r="K8" s="55" t="s">
        <v>26</v>
      </c>
      <c r="L8" s="57" t="s">
        <v>1297</v>
      </c>
    </row>
    <row r="9" spans="1:12">
      <c r="A9" s="55" t="s">
        <v>194</v>
      </c>
      <c r="B9" s="55" t="s">
        <v>1298</v>
      </c>
      <c r="C9" s="56" t="s">
        <v>30</v>
      </c>
      <c r="D9" s="56" t="s">
        <v>30</v>
      </c>
      <c r="E9" s="56" t="s">
        <v>30</v>
      </c>
      <c r="F9" s="56" t="s">
        <v>30</v>
      </c>
      <c r="G9" s="55" t="s">
        <v>140</v>
      </c>
      <c r="H9" s="55" t="s">
        <v>195</v>
      </c>
      <c r="I9" s="55" t="s">
        <v>30</v>
      </c>
      <c r="J9" s="55"/>
      <c r="K9" s="55" t="s">
        <v>149</v>
      </c>
      <c r="L9" s="57" t="s">
        <v>1297</v>
      </c>
    </row>
    <row r="10" spans="1:12">
      <c r="A10" s="55" t="s">
        <v>196</v>
      </c>
      <c r="B10" s="55" t="s">
        <v>1301</v>
      </c>
      <c r="C10" s="56" t="s">
        <v>30</v>
      </c>
      <c r="D10" s="56" t="s">
        <v>30</v>
      </c>
      <c r="E10" s="56" t="s">
        <v>30</v>
      </c>
      <c r="F10" s="56" t="s">
        <v>30</v>
      </c>
      <c r="G10" s="55" t="s">
        <v>140</v>
      </c>
      <c r="H10" s="55" t="s">
        <v>199</v>
      </c>
      <c r="I10" s="55" t="s">
        <v>30</v>
      </c>
      <c r="J10" s="55"/>
      <c r="K10" s="55" t="s">
        <v>149</v>
      </c>
      <c r="L10" s="57" t="s">
        <v>1297</v>
      </c>
    </row>
    <row r="11" spans="1:12">
      <c r="A11" s="55" t="s">
        <v>309</v>
      </c>
      <c r="B11" s="55" t="s">
        <v>75</v>
      </c>
      <c r="C11" s="56" t="s">
        <v>30</v>
      </c>
      <c r="D11" s="56" t="s">
        <v>30</v>
      </c>
      <c r="E11" s="56" t="s">
        <v>30</v>
      </c>
      <c r="F11" s="56" t="s">
        <v>30</v>
      </c>
      <c r="G11" s="55" t="s">
        <v>140</v>
      </c>
      <c r="H11" s="55" t="s">
        <v>1302</v>
      </c>
      <c r="I11" s="55" t="s">
        <v>30</v>
      </c>
      <c r="J11" s="55"/>
      <c r="K11" s="55" t="s">
        <v>90</v>
      </c>
      <c r="L11" s="57" t="s">
        <v>1297</v>
      </c>
    </row>
    <row r="12" spans="1:12">
      <c r="A12" s="55" t="s">
        <v>310</v>
      </c>
      <c r="B12" s="55" t="s">
        <v>76</v>
      </c>
      <c r="C12" s="56" t="s">
        <v>30</v>
      </c>
      <c r="D12" s="56" t="s">
        <v>30</v>
      </c>
      <c r="E12" s="56" t="s">
        <v>30</v>
      </c>
      <c r="F12" s="56" t="s">
        <v>30</v>
      </c>
      <c r="G12" s="55" t="s">
        <v>140</v>
      </c>
      <c r="H12" s="55" t="s">
        <v>1303</v>
      </c>
      <c r="I12" s="55" t="s">
        <v>30</v>
      </c>
      <c r="J12" s="55"/>
      <c r="K12" s="55" t="s">
        <v>26</v>
      </c>
      <c r="L12" s="57" t="s">
        <v>1297</v>
      </c>
    </row>
    <row r="13" spans="1:12">
      <c r="A13" s="55" t="s">
        <v>373</v>
      </c>
      <c r="B13" s="55" t="s">
        <v>1304</v>
      </c>
      <c r="C13" s="56" t="s">
        <v>30</v>
      </c>
      <c r="D13" s="56" t="s">
        <v>30</v>
      </c>
      <c r="E13" s="56" t="s">
        <v>30</v>
      </c>
      <c r="F13" s="56" t="s">
        <v>30</v>
      </c>
      <c r="G13" s="55"/>
      <c r="H13" s="55" t="s">
        <v>375</v>
      </c>
      <c r="I13" s="55" t="s">
        <v>376</v>
      </c>
      <c r="J13" s="55"/>
      <c r="K13" s="55" t="s">
        <v>26</v>
      </c>
      <c r="L13" s="57" t="s">
        <v>1297</v>
      </c>
    </row>
    <row r="14" spans="1:12">
      <c r="A14" s="55" t="s">
        <v>377</v>
      </c>
      <c r="B14" s="55" t="s">
        <v>1304</v>
      </c>
      <c r="C14" s="56" t="s">
        <v>30</v>
      </c>
      <c r="D14" s="56" t="s">
        <v>30</v>
      </c>
      <c r="E14" s="56" t="s">
        <v>30</v>
      </c>
      <c r="F14" s="56" t="s">
        <v>30</v>
      </c>
      <c r="G14" s="55"/>
      <c r="H14" s="55" t="s">
        <v>375</v>
      </c>
      <c r="I14" s="55" t="s">
        <v>378</v>
      </c>
      <c r="J14" s="55"/>
      <c r="K14" s="55" t="s">
        <v>26</v>
      </c>
      <c r="L14" s="57" t="s">
        <v>1297</v>
      </c>
    </row>
    <row r="15" spans="1:12">
      <c r="A15" s="55" t="s">
        <v>379</v>
      </c>
      <c r="B15" s="55" t="s">
        <v>1304</v>
      </c>
      <c r="C15" s="56" t="s">
        <v>30</v>
      </c>
      <c r="D15" s="56" t="s">
        <v>30</v>
      </c>
      <c r="E15" s="56" t="s">
        <v>30</v>
      </c>
      <c r="F15" s="56" t="s">
        <v>30</v>
      </c>
      <c r="G15" s="55"/>
      <c r="H15" s="55" t="s">
        <v>380</v>
      </c>
      <c r="I15" s="55" t="s">
        <v>380</v>
      </c>
      <c r="J15" s="55"/>
      <c r="K15" s="55" t="s">
        <v>26</v>
      </c>
      <c r="L15" s="57" t="s">
        <v>1297</v>
      </c>
    </row>
    <row r="16" spans="1:12">
      <c r="A16" s="55" t="s">
        <v>416</v>
      </c>
      <c r="B16" s="55" t="s">
        <v>1299</v>
      </c>
      <c r="C16" s="56" t="s">
        <v>30</v>
      </c>
      <c r="D16" s="56" t="s">
        <v>30</v>
      </c>
      <c r="E16" s="56" t="s">
        <v>30</v>
      </c>
      <c r="F16" s="56" t="s">
        <v>30</v>
      </c>
      <c r="G16" s="55" t="s">
        <v>41</v>
      </c>
      <c r="H16" s="55" t="s">
        <v>79</v>
      </c>
      <c r="I16" s="55" t="s">
        <v>417</v>
      </c>
      <c r="J16" s="55"/>
      <c r="K16" s="55" t="s">
        <v>90</v>
      </c>
      <c r="L16" s="57" t="s">
        <v>1297</v>
      </c>
    </row>
    <row r="17" spans="1:12">
      <c r="A17" s="55" t="s">
        <v>418</v>
      </c>
      <c r="B17" s="55" t="s">
        <v>1299</v>
      </c>
      <c r="C17" s="56" t="s">
        <v>30</v>
      </c>
      <c r="D17" s="56" t="s">
        <v>30</v>
      </c>
      <c r="E17" s="56" t="s">
        <v>30</v>
      </c>
      <c r="F17" s="56" t="s">
        <v>30</v>
      </c>
      <c r="G17" s="55" t="s">
        <v>41</v>
      </c>
      <c r="H17" s="55" t="s">
        <v>82</v>
      </c>
      <c r="I17" s="55" t="s">
        <v>419</v>
      </c>
      <c r="J17" s="55"/>
      <c r="K17" s="55" t="s">
        <v>90</v>
      </c>
      <c r="L17" s="57" t="s">
        <v>1297</v>
      </c>
    </row>
    <row r="18" spans="1:12">
      <c r="A18" s="55" t="s">
        <v>420</v>
      </c>
      <c r="B18" s="55" t="s">
        <v>40</v>
      </c>
      <c r="C18" s="56" t="s">
        <v>30</v>
      </c>
      <c r="D18" s="56" t="s">
        <v>30</v>
      </c>
      <c r="E18" s="56" t="s">
        <v>30</v>
      </c>
      <c r="F18" s="56" t="s">
        <v>30</v>
      </c>
      <c r="G18" s="55" t="s">
        <v>41</v>
      </c>
      <c r="H18" s="55" t="s">
        <v>42</v>
      </c>
      <c r="I18" s="55" t="s">
        <v>1305</v>
      </c>
      <c r="J18" s="55"/>
      <c r="K18" s="55" t="s">
        <v>90</v>
      </c>
      <c r="L18" s="57" t="s">
        <v>1297</v>
      </c>
    </row>
    <row r="19" spans="1:12">
      <c r="A19" s="55" t="s">
        <v>423</v>
      </c>
      <c r="B19" s="55" t="s">
        <v>75</v>
      </c>
      <c r="C19" s="56" t="s">
        <v>30</v>
      </c>
      <c r="D19" s="56" t="s">
        <v>30</v>
      </c>
      <c r="E19" s="56" t="s">
        <v>30</v>
      </c>
      <c r="F19" s="56" t="s">
        <v>30</v>
      </c>
      <c r="G19" s="55" t="s">
        <v>140</v>
      </c>
      <c r="H19" s="55" t="s">
        <v>76</v>
      </c>
      <c r="I19" s="55" t="s">
        <v>30</v>
      </c>
      <c r="J19" s="55"/>
      <c r="K19" s="55" t="s">
        <v>90</v>
      </c>
      <c r="L19" s="57" t="s">
        <v>1297</v>
      </c>
    </row>
    <row r="20" spans="1:12">
      <c r="A20" s="55" t="s">
        <v>424</v>
      </c>
      <c r="B20" s="55" t="s">
        <v>72</v>
      </c>
      <c r="C20" s="56" t="s">
        <v>30</v>
      </c>
      <c r="D20" s="56" t="s">
        <v>30</v>
      </c>
      <c r="E20" s="56" t="s">
        <v>30</v>
      </c>
      <c r="F20" s="56" t="s">
        <v>30</v>
      </c>
      <c r="G20" s="55" t="s">
        <v>41</v>
      </c>
      <c r="H20" s="55" t="s">
        <v>73</v>
      </c>
      <c r="I20" s="55" t="s">
        <v>30</v>
      </c>
      <c r="J20" s="55"/>
      <c r="K20" s="55" t="s">
        <v>90</v>
      </c>
      <c r="L20" s="57" t="s">
        <v>1297</v>
      </c>
    </row>
    <row r="21" spans="1:12">
      <c r="A21" s="4" t="s">
        <v>1030</v>
      </c>
      <c r="B21" s="4" t="s">
        <v>1032</v>
      </c>
      <c r="C21" s="4" t="s">
        <v>30</v>
      </c>
      <c r="D21" s="4" t="s">
        <v>30</v>
      </c>
      <c r="E21" s="4" t="s">
        <v>30</v>
      </c>
      <c r="F21" s="4" t="s">
        <v>30</v>
      </c>
      <c r="G21" s="4" t="s">
        <v>140</v>
      </c>
      <c r="H21" s="4" t="s">
        <v>36</v>
      </c>
      <c r="I21" s="4" t="s">
        <v>36</v>
      </c>
      <c r="J21" s="4" t="s">
        <v>36</v>
      </c>
      <c r="K21" s="4" t="s">
        <v>944</v>
      </c>
      <c r="L21" s="4" t="s">
        <v>1297</v>
      </c>
    </row>
    <row r="22" spans="1:12">
      <c r="A22" s="4" t="s">
        <v>1033</v>
      </c>
      <c r="B22" s="4" t="s">
        <v>1034</v>
      </c>
      <c r="C22" s="4" t="s">
        <v>30</v>
      </c>
      <c r="D22" s="4" t="s">
        <v>30</v>
      </c>
      <c r="E22" s="4" t="s">
        <v>30</v>
      </c>
      <c r="F22" s="4" t="s">
        <v>30</v>
      </c>
      <c r="G22" s="4" t="s">
        <v>41</v>
      </c>
      <c r="H22" s="4" t="s">
        <v>1035</v>
      </c>
      <c r="I22" s="4" t="s">
        <v>1036</v>
      </c>
      <c r="J22" s="4" t="s">
        <v>36</v>
      </c>
      <c r="K22" s="4" t="s">
        <v>944</v>
      </c>
      <c r="L22" s="4" t="s">
        <v>1297</v>
      </c>
    </row>
    <row r="23" spans="1:12">
      <c r="A23" s="4" t="s">
        <v>1037</v>
      </c>
      <c r="B23" s="4" t="s">
        <v>1039</v>
      </c>
      <c r="C23" s="4" t="s">
        <v>30</v>
      </c>
      <c r="D23" s="4" t="s">
        <v>30</v>
      </c>
      <c r="E23" s="4" t="s">
        <v>30</v>
      </c>
      <c r="F23" s="4" t="s">
        <v>30</v>
      </c>
      <c r="G23" s="4" t="s">
        <v>41</v>
      </c>
      <c r="H23" s="4" t="s">
        <v>1040</v>
      </c>
      <c r="I23" s="4" t="s">
        <v>1041</v>
      </c>
      <c r="J23" s="4" t="s">
        <v>36</v>
      </c>
      <c r="K23" s="4" t="s">
        <v>944</v>
      </c>
      <c r="L23" s="4" t="s">
        <v>1297</v>
      </c>
    </row>
    <row r="24" spans="1:12">
      <c r="A24" s="4" t="s">
        <v>1042</v>
      </c>
      <c r="B24" s="4" t="s">
        <v>1044</v>
      </c>
      <c r="C24" s="4" t="s">
        <v>30</v>
      </c>
      <c r="D24" s="4" t="s">
        <v>30</v>
      </c>
      <c r="E24" s="4" t="s">
        <v>30</v>
      </c>
      <c r="F24" s="4" t="s">
        <v>30</v>
      </c>
      <c r="G24" s="4" t="s">
        <v>41</v>
      </c>
      <c r="H24" s="4" t="s">
        <v>1045</v>
      </c>
      <c r="I24" s="4" t="s">
        <v>1046</v>
      </c>
      <c r="J24" s="4" t="s">
        <v>36</v>
      </c>
      <c r="K24" s="4" t="s">
        <v>944</v>
      </c>
      <c r="L24" s="4" t="s">
        <v>1297</v>
      </c>
    </row>
    <row r="25" spans="1:12">
      <c r="A25" s="4" t="s">
        <v>1047</v>
      </c>
      <c r="B25" s="4" t="s">
        <v>1049</v>
      </c>
      <c r="C25" s="4" t="s">
        <v>30</v>
      </c>
      <c r="D25" s="4" t="s">
        <v>30</v>
      </c>
      <c r="E25" s="4" t="s">
        <v>30</v>
      </c>
      <c r="F25" s="4" t="s">
        <v>30</v>
      </c>
      <c r="G25" s="4" t="s">
        <v>23</v>
      </c>
      <c r="H25" s="4" t="s">
        <v>1049</v>
      </c>
      <c r="I25" s="4" t="s">
        <v>36</v>
      </c>
      <c r="J25" s="4" t="s">
        <v>36</v>
      </c>
      <c r="K25" s="4" t="s">
        <v>944</v>
      </c>
      <c r="L25" s="4" t="s">
        <v>1297</v>
      </c>
    </row>
    <row r="26" spans="1:12">
      <c r="A26" s="4" t="s">
        <v>1050</v>
      </c>
      <c r="B26" s="4" t="s">
        <v>1049</v>
      </c>
      <c r="C26" s="4" t="s">
        <v>30</v>
      </c>
      <c r="D26" s="4" t="s">
        <v>30</v>
      </c>
      <c r="E26" s="4" t="s">
        <v>30</v>
      </c>
      <c r="F26" s="4" t="s">
        <v>30</v>
      </c>
      <c r="G26" s="4" t="s">
        <v>23</v>
      </c>
      <c r="H26" s="4" t="s">
        <v>1049</v>
      </c>
      <c r="I26" s="4" t="s">
        <v>36</v>
      </c>
      <c r="J26" s="4" t="s">
        <v>36</v>
      </c>
      <c r="K26" s="4" t="s">
        <v>944</v>
      </c>
      <c r="L26" s="4" t="s">
        <v>1297</v>
      </c>
    </row>
    <row r="27" spans="1:12">
      <c r="A27" s="4" t="s">
        <v>1052</v>
      </c>
      <c r="B27" s="4" t="s">
        <v>955</v>
      </c>
      <c r="C27" s="4" t="s">
        <v>30</v>
      </c>
      <c r="D27" s="4" t="s">
        <v>30</v>
      </c>
      <c r="E27" s="4" t="s">
        <v>30</v>
      </c>
      <c r="F27" s="4" t="s">
        <v>30</v>
      </c>
      <c r="G27" s="4" t="s">
        <v>23</v>
      </c>
      <c r="H27" s="4" t="s">
        <v>956</v>
      </c>
      <c r="I27" s="4">
        <v>101745</v>
      </c>
      <c r="J27" s="4" t="s">
        <v>1054</v>
      </c>
      <c r="K27" s="4" t="s">
        <v>944</v>
      </c>
      <c r="L27" s="4" t="s">
        <v>1297</v>
      </c>
    </row>
    <row r="28" spans="1:12">
      <c r="A28" s="4" t="s">
        <v>1055</v>
      </c>
      <c r="B28" s="4" t="s">
        <v>955</v>
      </c>
      <c r="C28" s="4" t="s">
        <v>30</v>
      </c>
      <c r="D28" s="4" t="s">
        <v>30</v>
      </c>
      <c r="E28" s="4" t="s">
        <v>30</v>
      </c>
      <c r="F28" s="4" t="s">
        <v>30</v>
      </c>
      <c r="G28" s="4" t="s">
        <v>23</v>
      </c>
      <c r="H28" s="4" t="s">
        <v>1057</v>
      </c>
      <c r="I28" s="4">
        <v>100924</v>
      </c>
      <c r="J28" s="4" t="s">
        <v>1054</v>
      </c>
      <c r="K28" s="4" t="s">
        <v>944</v>
      </c>
      <c r="L28" s="4" t="s">
        <v>1297</v>
      </c>
    </row>
    <row r="29" spans="1:12" ht="20.100000000000001" customHeight="1">
      <c r="A29" s="58" t="s">
        <v>1065</v>
      </c>
      <c r="B29" s="58" t="s">
        <v>1067</v>
      </c>
      <c r="C29" s="94" t="s">
        <v>30</v>
      </c>
      <c r="D29" s="58" t="s">
        <v>30</v>
      </c>
      <c r="E29" s="58" t="s">
        <v>30</v>
      </c>
      <c r="F29" s="95" t="str">
        <f t="shared" ref="F29:F37" si="0">IF(E29=12,C29+365,IF(E29=24,C29+730,IF(E29="N/A","N/A")))</f>
        <v>N/A</v>
      </c>
      <c r="G29" s="58" t="s">
        <v>1068</v>
      </c>
      <c r="H29" s="58" t="s">
        <v>1069</v>
      </c>
      <c r="I29" s="59">
        <v>1</v>
      </c>
      <c r="J29" s="60" t="s">
        <v>1070</v>
      </c>
      <c r="K29" s="58" t="s">
        <v>939</v>
      </c>
      <c r="L29" s="61" t="s">
        <v>1297</v>
      </c>
    </row>
    <row r="30" spans="1:12" ht="20.100000000000001" customHeight="1">
      <c r="A30" s="58" t="s">
        <v>1077</v>
      </c>
      <c r="B30" s="58" t="s">
        <v>1078</v>
      </c>
      <c r="C30" s="94" t="s">
        <v>30</v>
      </c>
      <c r="D30" s="58" t="s">
        <v>30</v>
      </c>
      <c r="E30" s="58" t="s">
        <v>30</v>
      </c>
      <c r="F30" s="95" t="str">
        <f t="shared" si="0"/>
        <v>N/A</v>
      </c>
      <c r="G30" s="58" t="s">
        <v>1074</v>
      </c>
      <c r="H30" s="58" t="s">
        <v>1079</v>
      </c>
      <c r="I30" s="59">
        <v>1</v>
      </c>
      <c r="J30" s="60" t="s">
        <v>1080</v>
      </c>
      <c r="K30" s="58" t="s">
        <v>939</v>
      </c>
      <c r="L30" s="61" t="s">
        <v>1297</v>
      </c>
    </row>
    <row r="31" spans="1:12" ht="20.100000000000001" customHeight="1">
      <c r="A31" s="58" t="s">
        <v>1194</v>
      </c>
      <c r="B31" s="58" t="s">
        <v>1195</v>
      </c>
      <c r="C31" s="94" t="s">
        <v>30</v>
      </c>
      <c r="D31" s="58" t="s">
        <v>30</v>
      </c>
      <c r="E31" s="58" t="s">
        <v>30</v>
      </c>
      <c r="F31" s="95" t="str">
        <f t="shared" si="0"/>
        <v>N/A</v>
      </c>
      <c r="G31" s="58" t="s">
        <v>1196</v>
      </c>
      <c r="H31" s="58" t="s">
        <v>1197</v>
      </c>
      <c r="I31" s="59" t="s">
        <v>1198</v>
      </c>
      <c r="J31" s="60" t="s">
        <v>1199</v>
      </c>
      <c r="K31" s="58" t="s">
        <v>939</v>
      </c>
      <c r="L31" s="61" t="s">
        <v>1297</v>
      </c>
    </row>
    <row r="32" spans="1:12" ht="20.100000000000001" customHeight="1">
      <c r="A32" s="58" t="s">
        <v>1239</v>
      </c>
      <c r="B32" s="58" t="s">
        <v>802</v>
      </c>
      <c r="C32" s="94" t="s">
        <v>30</v>
      </c>
      <c r="D32" s="58" t="s">
        <v>22</v>
      </c>
      <c r="E32" s="58" t="s">
        <v>30</v>
      </c>
      <c r="F32" s="95" t="str">
        <f t="shared" si="0"/>
        <v>N/A</v>
      </c>
      <c r="G32" s="58" t="s">
        <v>23</v>
      </c>
      <c r="H32" s="58" t="s">
        <v>803</v>
      </c>
      <c r="I32" s="59" t="s">
        <v>804</v>
      </c>
      <c r="J32" s="60"/>
      <c r="K32" s="58" t="s">
        <v>939</v>
      </c>
      <c r="L32" s="58" t="s">
        <v>1297</v>
      </c>
    </row>
    <row r="33" spans="1:12" ht="20.100000000000001" customHeight="1">
      <c r="A33" s="58" t="s">
        <v>1240</v>
      </c>
      <c r="B33" s="58" t="s">
        <v>806</v>
      </c>
      <c r="C33" s="94" t="s">
        <v>30</v>
      </c>
      <c r="D33" s="58" t="s">
        <v>22</v>
      </c>
      <c r="E33" s="58" t="s">
        <v>30</v>
      </c>
      <c r="F33" s="95" t="str">
        <f t="shared" si="0"/>
        <v>N/A</v>
      </c>
      <c r="G33" s="58" t="s">
        <v>807</v>
      </c>
      <c r="H33" s="58" t="s">
        <v>808</v>
      </c>
      <c r="I33" s="59" t="s">
        <v>809</v>
      </c>
      <c r="J33" s="60"/>
      <c r="K33" s="58" t="s">
        <v>939</v>
      </c>
      <c r="L33" s="58" t="s">
        <v>1297</v>
      </c>
    </row>
    <row r="34" spans="1:12" ht="20.100000000000001" customHeight="1">
      <c r="A34" s="58" t="s">
        <v>1250</v>
      </c>
      <c r="B34" s="58" t="s">
        <v>1254</v>
      </c>
      <c r="C34" s="94" t="s">
        <v>30</v>
      </c>
      <c r="D34" s="58" t="s">
        <v>30</v>
      </c>
      <c r="E34" s="58" t="s">
        <v>30</v>
      </c>
      <c r="F34" s="95" t="str">
        <f t="shared" si="0"/>
        <v>N/A</v>
      </c>
      <c r="G34" s="58" t="s">
        <v>1247</v>
      </c>
      <c r="H34" s="58" t="s">
        <v>1255</v>
      </c>
      <c r="I34" s="59">
        <v>1</v>
      </c>
      <c r="J34" s="60" t="s">
        <v>1249</v>
      </c>
      <c r="K34" s="58" t="s">
        <v>939</v>
      </c>
      <c r="L34" s="58" t="s">
        <v>1297</v>
      </c>
    </row>
    <row r="35" spans="1:12" ht="20.100000000000001" customHeight="1">
      <c r="A35" s="58" t="s">
        <v>1253</v>
      </c>
      <c r="B35" s="58" t="s">
        <v>1254</v>
      </c>
      <c r="C35" s="94" t="s">
        <v>30</v>
      </c>
      <c r="D35" s="58" t="s">
        <v>30</v>
      </c>
      <c r="E35" s="58" t="s">
        <v>30</v>
      </c>
      <c r="F35" s="95" t="str">
        <f t="shared" si="0"/>
        <v>N/A</v>
      </c>
      <c r="G35" s="58" t="s">
        <v>1247</v>
      </c>
      <c r="H35" s="58" t="s">
        <v>1255</v>
      </c>
      <c r="I35" s="59">
        <v>2</v>
      </c>
      <c r="J35" s="60" t="s">
        <v>1249</v>
      </c>
      <c r="K35" s="58" t="s">
        <v>939</v>
      </c>
      <c r="L35" s="58" t="s">
        <v>1297</v>
      </c>
    </row>
    <row r="36" spans="1:12" ht="20.100000000000001" customHeight="1">
      <c r="A36" s="58" t="s">
        <v>1256</v>
      </c>
      <c r="B36" s="58" t="s">
        <v>1254</v>
      </c>
      <c r="C36" s="94" t="s">
        <v>30</v>
      </c>
      <c r="D36" s="58" t="s">
        <v>30</v>
      </c>
      <c r="E36" s="58" t="s">
        <v>30</v>
      </c>
      <c r="F36" s="95" t="str">
        <f t="shared" si="0"/>
        <v>N/A</v>
      </c>
      <c r="G36" s="58" t="s">
        <v>1247</v>
      </c>
      <c r="H36" s="58" t="s">
        <v>1258</v>
      </c>
      <c r="I36" s="59">
        <v>1</v>
      </c>
      <c r="J36" s="60" t="s">
        <v>1259</v>
      </c>
      <c r="K36" s="58" t="s">
        <v>939</v>
      </c>
      <c r="L36" s="58" t="s">
        <v>1297</v>
      </c>
    </row>
    <row r="37" spans="1:12" ht="20.100000000000001" customHeight="1">
      <c r="A37" s="58" t="s">
        <v>1257</v>
      </c>
      <c r="B37" s="58" t="s">
        <v>1254</v>
      </c>
      <c r="C37" s="94" t="s">
        <v>30</v>
      </c>
      <c r="D37" s="58" t="s">
        <v>30</v>
      </c>
      <c r="E37" s="58" t="s">
        <v>30</v>
      </c>
      <c r="F37" s="95" t="str">
        <f t="shared" si="0"/>
        <v>N/A</v>
      </c>
      <c r="G37" s="58" t="s">
        <v>1247</v>
      </c>
      <c r="H37" s="58" t="s">
        <v>1258</v>
      </c>
      <c r="I37" s="59">
        <v>2</v>
      </c>
      <c r="J37" s="60" t="s">
        <v>1259</v>
      </c>
      <c r="K37" s="58" t="s">
        <v>939</v>
      </c>
      <c r="L37" s="58" t="s">
        <v>1297</v>
      </c>
    </row>
    <row r="38" spans="1:12">
      <c r="A38" s="58" t="s">
        <v>1260</v>
      </c>
      <c r="B38" s="58" t="s">
        <v>1254</v>
      </c>
      <c r="C38" s="94" t="s">
        <v>30</v>
      </c>
      <c r="D38" s="58" t="s">
        <v>30</v>
      </c>
      <c r="E38" s="58" t="s">
        <v>30</v>
      </c>
      <c r="F38" s="95" t="s">
        <v>30</v>
      </c>
      <c r="G38" s="58" t="s">
        <v>1247</v>
      </c>
      <c r="H38" s="58" t="s">
        <v>1258</v>
      </c>
      <c r="I38" s="59">
        <v>2</v>
      </c>
      <c r="J38" s="60" t="s">
        <v>1259</v>
      </c>
      <c r="K38" s="58" t="s">
        <v>939</v>
      </c>
      <c r="L38" s="58" t="s">
        <v>1297</v>
      </c>
    </row>
    <row r="39" spans="1:12">
      <c r="A39" s="58" t="s">
        <v>1264</v>
      </c>
      <c r="B39" s="58" t="s">
        <v>1265</v>
      </c>
      <c r="C39" s="94" t="s">
        <v>30</v>
      </c>
      <c r="D39" s="58" t="s">
        <v>30</v>
      </c>
      <c r="E39" s="58" t="s">
        <v>30</v>
      </c>
      <c r="F39" s="95" t="s">
        <v>30</v>
      </c>
      <c r="G39" s="58" t="s">
        <v>1266</v>
      </c>
      <c r="H39" s="58" t="s">
        <v>1267</v>
      </c>
      <c r="I39" s="59" t="s">
        <v>36</v>
      </c>
      <c r="J39" s="60" t="s">
        <v>1268</v>
      </c>
      <c r="K39" s="58" t="s">
        <v>1269</v>
      </c>
      <c r="L39" s="58" t="s">
        <v>1297</v>
      </c>
    </row>
    <row r="40" spans="1:12">
      <c r="A40" s="58" t="s">
        <v>1270</v>
      </c>
      <c r="B40" s="58" t="s">
        <v>1271</v>
      </c>
      <c r="C40" s="94" t="s">
        <v>30</v>
      </c>
      <c r="D40" s="58" t="s">
        <v>30</v>
      </c>
      <c r="E40" s="58" t="s">
        <v>30</v>
      </c>
      <c r="F40" s="95" t="s">
        <v>30</v>
      </c>
      <c r="G40" s="58" t="s">
        <v>1272</v>
      </c>
      <c r="H40" s="58" t="s">
        <v>1273</v>
      </c>
      <c r="I40" s="59" t="s">
        <v>1274</v>
      </c>
      <c r="J40" s="60" t="s">
        <v>297</v>
      </c>
      <c r="K40" s="58" t="s">
        <v>1269</v>
      </c>
      <c r="L40" s="58" t="s">
        <v>1297</v>
      </c>
    </row>
    <row r="41" spans="1:12">
      <c r="A41" s="58" t="s">
        <v>1275</v>
      </c>
      <c r="B41" s="58" t="s">
        <v>1276</v>
      </c>
      <c r="C41" s="94" t="s">
        <v>30</v>
      </c>
      <c r="D41" s="58" t="s">
        <v>30</v>
      </c>
      <c r="E41" s="58" t="s">
        <v>30</v>
      </c>
      <c r="F41" s="95" t="s">
        <v>30</v>
      </c>
      <c r="G41" s="58" t="s">
        <v>1277</v>
      </c>
      <c r="H41" s="58" t="s">
        <v>1278</v>
      </c>
      <c r="I41" s="59" t="s">
        <v>1279</v>
      </c>
      <c r="J41" s="60" t="s">
        <v>1280</v>
      </c>
      <c r="K41" s="58" t="s">
        <v>1269</v>
      </c>
      <c r="L41" s="58" t="s">
        <v>1297</v>
      </c>
    </row>
  </sheetData>
  <phoneticPr fontId="6" type="noConversion"/>
  <conditionalFormatting sqref="F29:F41">
    <cfRule type="cellIs" dxfId="5" priority="1" operator="lessThan">
      <formula>#REF!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workbookViewId="0">
      <selection activeCell="A10" sqref="A10"/>
    </sheetView>
  </sheetViews>
  <sheetFormatPr defaultRowHeight="17.399999999999999"/>
  <cols>
    <col min="1" max="1" width="12.59765625" style="4" customWidth="1"/>
    <col min="2" max="2" width="45.59765625" style="4" customWidth="1"/>
    <col min="3" max="3" width="12.59765625" style="4" hidden="1" customWidth="1"/>
    <col min="4" max="4" width="10.59765625" style="4" hidden="1" customWidth="1"/>
    <col min="5" max="5" width="12.59765625" style="4" hidden="1" customWidth="1"/>
    <col min="6" max="6" width="10.59765625" style="4" hidden="1" customWidth="1"/>
    <col min="7" max="7" width="24.59765625" style="4" customWidth="1"/>
    <col min="8" max="8" width="26.59765625" style="4" bestFit="1" customWidth="1"/>
    <col min="9" max="9" width="21.59765625" style="4" customWidth="1"/>
    <col min="10" max="10" width="25.59765625" style="4" customWidth="1"/>
    <col min="11" max="11" width="12.09765625" style="4" customWidth="1"/>
    <col min="12" max="12" width="40.59765625" style="4" customWidth="1"/>
    <col min="13" max="13" width="10" style="48" bestFit="1" customWidth="1"/>
  </cols>
  <sheetData>
    <row r="1" spans="1:12" s="1" customFormat="1" ht="30.6" customHeight="1" thickBot="1">
      <c r="A1" s="49" t="s">
        <v>1</v>
      </c>
      <c r="B1" s="49" t="s">
        <v>3</v>
      </c>
      <c r="C1" s="49" t="s">
        <v>5</v>
      </c>
      <c r="D1" s="49" t="s">
        <v>1288</v>
      </c>
      <c r="E1" s="49" t="s">
        <v>8</v>
      </c>
      <c r="F1" s="49" t="s">
        <v>6</v>
      </c>
      <c r="G1" s="49" t="s">
        <v>9</v>
      </c>
      <c r="H1" s="49" t="s">
        <v>11</v>
      </c>
      <c r="I1" s="49" t="s">
        <v>12</v>
      </c>
      <c r="J1" s="49" t="s">
        <v>13</v>
      </c>
      <c r="K1" s="49" t="s">
        <v>14</v>
      </c>
      <c r="L1" s="49" t="s">
        <v>1289</v>
      </c>
    </row>
    <row r="2" spans="1:12" ht="25.5" customHeight="1" thickTop="1">
      <c r="A2" s="50" t="s">
        <v>1306</v>
      </c>
      <c r="B2" s="50" t="s">
        <v>208</v>
      </c>
      <c r="C2" s="96"/>
      <c r="D2" s="50"/>
      <c r="E2" s="50"/>
      <c r="F2" s="96"/>
      <c r="G2" s="50" t="s">
        <v>23</v>
      </c>
      <c r="H2" s="50" t="s">
        <v>1146</v>
      </c>
      <c r="I2" s="50" t="s">
        <v>1307</v>
      </c>
      <c r="J2" s="50" t="s">
        <v>1147</v>
      </c>
      <c r="K2" s="50" t="s">
        <v>110</v>
      </c>
      <c r="L2" s="89" t="s">
        <v>1308</v>
      </c>
    </row>
    <row r="3" spans="1:12" ht="25.5" customHeight="1">
      <c r="A3" s="50" t="s">
        <v>1309</v>
      </c>
      <c r="B3" s="50" t="s">
        <v>233</v>
      </c>
      <c r="C3" s="96"/>
      <c r="D3" s="50"/>
      <c r="E3" s="50"/>
      <c r="F3" s="96"/>
      <c r="G3" s="50" t="s">
        <v>234</v>
      </c>
      <c r="H3" s="50" t="s">
        <v>235</v>
      </c>
      <c r="I3" s="50" t="s">
        <v>236</v>
      </c>
      <c r="J3" s="50" t="s">
        <v>237</v>
      </c>
      <c r="K3" s="50" t="s">
        <v>110</v>
      </c>
      <c r="L3" s="89" t="s">
        <v>1310</v>
      </c>
    </row>
    <row r="4" spans="1:12" ht="25.5" customHeight="1">
      <c r="A4" s="50" t="s">
        <v>1311</v>
      </c>
      <c r="B4" s="50" t="s">
        <v>233</v>
      </c>
      <c r="C4" s="96"/>
      <c r="D4" s="50"/>
      <c r="E4" s="50"/>
      <c r="F4" s="96"/>
      <c r="G4" s="50" t="s">
        <v>234</v>
      </c>
      <c r="H4" s="50" t="s">
        <v>235</v>
      </c>
      <c r="I4" s="50" t="s">
        <v>335</v>
      </c>
      <c r="J4" s="50" t="s">
        <v>237</v>
      </c>
      <c r="K4" s="50" t="s">
        <v>110</v>
      </c>
      <c r="L4" s="89" t="s">
        <v>1310</v>
      </c>
    </row>
    <row r="5" spans="1:12" ht="25.5" customHeight="1">
      <c r="A5" s="50" t="s">
        <v>1312</v>
      </c>
      <c r="B5" s="50" t="s">
        <v>1313</v>
      </c>
      <c r="C5" s="96"/>
      <c r="D5" s="50"/>
      <c r="E5" s="50"/>
      <c r="F5" s="96"/>
      <c r="G5" s="50" t="s">
        <v>525</v>
      </c>
      <c r="H5" s="50" t="s">
        <v>1151</v>
      </c>
      <c r="I5" s="50" t="s">
        <v>1152</v>
      </c>
      <c r="J5" s="50" t="s">
        <v>1153</v>
      </c>
      <c r="K5" s="50" t="s">
        <v>253</v>
      </c>
      <c r="L5" s="89" t="s">
        <v>1308</v>
      </c>
    </row>
    <row r="6" spans="1:12" ht="25.5" customHeight="1">
      <c r="A6" s="50" t="s">
        <v>1314</v>
      </c>
      <c r="B6" s="50" t="s">
        <v>1315</v>
      </c>
      <c r="C6" s="96"/>
      <c r="D6" s="50"/>
      <c r="E6" s="50"/>
      <c r="F6" s="96"/>
      <c r="G6" s="50" t="s">
        <v>525</v>
      </c>
      <c r="H6" s="50" t="s">
        <v>1157</v>
      </c>
      <c r="I6" s="50" t="s">
        <v>1158</v>
      </c>
      <c r="J6" s="50" t="s">
        <v>1159</v>
      </c>
      <c r="K6" s="50" t="s">
        <v>253</v>
      </c>
      <c r="L6" s="89" t="s">
        <v>1308</v>
      </c>
    </row>
    <row r="7" spans="1:12" ht="25.5" customHeight="1">
      <c r="A7" s="50" t="s">
        <v>1316</v>
      </c>
      <c r="B7" s="50" t="s">
        <v>1317</v>
      </c>
      <c r="C7" s="96"/>
      <c r="D7" s="50"/>
      <c r="E7" s="50"/>
      <c r="F7" s="96"/>
      <c r="G7" s="50" t="s">
        <v>525</v>
      </c>
      <c r="H7" s="50" t="s">
        <v>1163</v>
      </c>
      <c r="I7" s="50" t="s">
        <v>1164</v>
      </c>
      <c r="J7" s="50" t="s">
        <v>1165</v>
      </c>
      <c r="K7" s="50" t="s">
        <v>253</v>
      </c>
      <c r="L7" s="89" t="s">
        <v>1308</v>
      </c>
    </row>
    <row r="8" spans="1:12" ht="25.5" customHeight="1">
      <c r="A8" s="50" t="s">
        <v>1318</v>
      </c>
      <c r="B8" s="50" t="s">
        <v>208</v>
      </c>
      <c r="C8" s="96"/>
      <c r="D8" s="50"/>
      <c r="E8" s="50"/>
      <c r="F8" s="96"/>
      <c r="G8" s="50" t="s">
        <v>23</v>
      </c>
      <c r="H8" s="50" t="s">
        <v>861</v>
      </c>
      <c r="I8" s="50">
        <v>104520</v>
      </c>
      <c r="J8" s="50" t="s">
        <v>1319</v>
      </c>
      <c r="K8" s="50" t="s">
        <v>110</v>
      </c>
      <c r="L8" s="89" t="s">
        <v>1310</v>
      </c>
    </row>
    <row r="9" spans="1:12" ht="25.5" customHeight="1">
      <c r="A9" s="50" t="s">
        <v>1320</v>
      </c>
      <c r="B9" s="50" t="s">
        <v>208</v>
      </c>
      <c r="C9" s="96"/>
      <c r="D9" s="50"/>
      <c r="E9" s="50"/>
      <c r="F9" s="96"/>
      <c r="G9" s="50" t="s">
        <v>23</v>
      </c>
      <c r="H9" s="50" t="s">
        <v>861</v>
      </c>
      <c r="I9" s="50">
        <v>104521</v>
      </c>
      <c r="J9" s="50" t="s">
        <v>1319</v>
      </c>
      <c r="K9" s="50" t="s">
        <v>110</v>
      </c>
      <c r="L9" s="89" t="s">
        <v>1310</v>
      </c>
    </row>
    <row r="10" spans="1:12" ht="25.5" customHeight="1">
      <c r="A10" s="50" t="s">
        <v>1321</v>
      </c>
      <c r="B10" s="50" t="s">
        <v>612</v>
      </c>
      <c r="C10" s="96"/>
      <c r="D10" s="50"/>
      <c r="E10" s="50"/>
      <c r="F10" s="96"/>
      <c r="G10" s="50" t="s">
        <v>525</v>
      </c>
      <c r="H10" s="50" t="s">
        <v>614</v>
      </c>
      <c r="I10" s="50" t="s">
        <v>1322</v>
      </c>
      <c r="J10" s="50"/>
      <c r="K10" s="50" t="s">
        <v>1291</v>
      </c>
      <c r="L10" s="89" t="s">
        <v>1310</v>
      </c>
    </row>
    <row r="11" spans="1:12" ht="25.5" customHeight="1">
      <c r="A11" s="50" t="s">
        <v>1323</v>
      </c>
      <c r="B11" s="50" t="s">
        <v>612</v>
      </c>
      <c r="C11" s="96"/>
      <c r="D11" s="50"/>
      <c r="E11" s="50"/>
      <c r="F11" s="96"/>
      <c r="G11" s="50" t="s">
        <v>525</v>
      </c>
      <c r="H11" s="50" t="s">
        <v>614</v>
      </c>
      <c r="I11" s="50" t="s">
        <v>1324</v>
      </c>
      <c r="J11" s="50" t="s">
        <v>36</v>
      </c>
      <c r="K11" s="50" t="s">
        <v>1325</v>
      </c>
      <c r="L11" s="89" t="s">
        <v>1310</v>
      </c>
    </row>
    <row r="12" spans="1:12" ht="25.5" customHeight="1">
      <c r="A12" s="50" t="s">
        <v>1326</v>
      </c>
      <c r="B12" s="50" t="s">
        <v>621</v>
      </c>
      <c r="C12" s="96"/>
      <c r="D12" s="62"/>
      <c r="E12" s="62"/>
      <c r="F12" s="96"/>
      <c r="G12" s="50" t="s">
        <v>525</v>
      </c>
      <c r="H12" s="50" t="s">
        <v>622</v>
      </c>
      <c r="I12" s="50" t="s">
        <v>1327</v>
      </c>
      <c r="J12" s="50"/>
      <c r="K12" s="50" t="s">
        <v>1291</v>
      </c>
      <c r="L12" s="89" t="s">
        <v>1310</v>
      </c>
    </row>
    <row r="13" spans="1:12" ht="25.5" customHeight="1">
      <c r="A13" s="63" t="s">
        <v>1328</v>
      </c>
      <c r="B13" s="63" t="s">
        <v>621</v>
      </c>
      <c r="C13" s="96"/>
      <c r="D13" s="64"/>
      <c r="E13" s="64"/>
      <c r="F13" s="96"/>
      <c r="G13" s="50" t="s">
        <v>525</v>
      </c>
      <c r="H13" s="50" t="s">
        <v>622</v>
      </c>
      <c r="I13" s="50" t="s">
        <v>1329</v>
      </c>
      <c r="J13" s="50" t="s">
        <v>36</v>
      </c>
      <c r="K13" s="50" t="s">
        <v>1325</v>
      </c>
      <c r="L13" s="89" t="s">
        <v>1310</v>
      </c>
    </row>
    <row r="14" spans="1:12" ht="25.5" customHeight="1">
      <c r="A14" s="50" t="s">
        <v>1330</v>
      </c>
      <c r="B14" s="50" t="s">
        <v>628</v>
      </c>
      <c r="C14" s="96"/>
      <c r="D14" s="50"/>
      <c r="E14" s="50"/>
      <c r="F14" s="96"/>
      <c r="G14" s="50" t="s">
        <v>525</v>
      </c>
      <c r="H14" s="50" t="s">
        <v>629</v>
      </c>
      <c r="I14" s="50" t="s">
        <v>1331</v>
      </c>
      <c r="J14" s="50" t="s">
        <v>36</v>
      </c>
      <c r="K14" s="50" t="s">
        <v>1325</v>
      </c>
      <c r="L14" s="89" t="s">
        <v>1310</v>
      </c>
    </row>
    <row r="15" spans="1:12" ht="25.5" customHeight="1">
      <c r="A15" s="50" t="s">
        <v>1332</v>
      </c>
      <c r="B15" s="50" t="s">
        <v>628</v>
      </c>
      <c r="C15" s="96"/>
      <c r="D15" s="50"/>
      <c r="E15" s="50"/>
      <c r="F15" s="96"/>
      <c r="G15" s="50" t="s">
        <v>525</v>
      </c>
      <c r="H15" s="50" t="s">
        <v>629</v>
      </c>
      <c r="I15" s="50" t="s">
        <v>1333</v>
      </c>
      <c r="J15" s="50" t="s">
        <v>36</v>
      </c>
      <c r="K15" s="50" t="s">
        <v>1325</v>
      </c>
      <c r="L15" s="89" t="s">
        <v>1310</v>
      </c>
    </row>
    <row r="16" spans="1:12" ht="25.5" customHeight="1">
      <c r="A16" s="50" t="s">
        <v>1334</v>
      </c>
      <c r="B16" s="50" t="s">
        <v>628</v>
      </c>
      <c r="C16" s="96"/>
      <c r="D16" s="50"/>
      <c r="E16" s="50"/>
      <c r="F16" s="96"/>
      <c r="G16" s="50" t="s">
        <v>525</v>
      </c>
      <c r="H16" s="50" t="s">
        <v>629</v>
      </c>
      <c r="I16" s="50" t="s">
        <v>1335</v>
      </c>
      <c r="J16" s="50"/>
      <c r="K16" s="50" t="s">
        <v>1291</v>
      </c>
      <c r="L16" s="89" t="s">
        <v>1310</v>
      </c>
    </row>
    <row r="17" spans="1:14" ht="25.5" customHeight="1">
      <c r="A17" s="50" t="s">
        <v>1336</v>
      </c>
      <c r="B17" s="50" t="s">
        <v>628</v>
      </c>
      <c r="C17" s="96"/>
      <c r="D17" s="50"/>
      <c r="E17" s="50"/>
      <c r="F17" s="96"/>
      <c r="G17" s="50" t="s">
        <v>525</v>
      </c>
      <c r="H17" s="50" t="s">
        <v>629</v>
      </c>
      <c r="I17" s="50" t="s">
        <v>1337</v>
      </c>
      <c r="J17" s="50"/>
      <c r="K17" s="50" t="s">
        <v>1291</v>
      </c>
      <c r="L17" s="89" t="s">
        <v>1310</v>
      </c>
    </row>
    <row r="18" spans="1:14" ht="25.5" customHeight="1">
      <c r="A18" s="50" t="s">
        <v>1338</v>
      </c>
      <c r="B18" s="50" t="s">
        <v>1339</v>
      </c>
      <c r="C18" s="96"/>
      <c r="D18" s="50"/>
      <c r="E18" s="50"/>
      <c r="F18" s="96"/>
      <c r="G18" s="50" t="s">
        <v>1340</v>
      </c>
      <c r="H18" s="50" t="s">
        <v>1341</v>
      </c>
      <c r="I18" s="54" t="s">
        <v>1342</v>
      </c>
      <c r="J18" s="50" t="s">
        <v>1343</v>
      </c>
      <c r="K18" s="50" t="s">
        <v>149</v>
      </c>
      <c r="L18" s="89" t="s">
        <v>1310</v>
      </c>
    </row>
    <row r="19" spans="1:14" ht="25.5" customHeight="1">
      <c r="A19" s="50" t="s">
        <v>1344</v>
      </c>
      <c r="B19" s="50" t="s">
        <v>795</v>
      </c>
      <c r="C19" s="96"/>
      <c r="D19" s="50"/>
      <c r="E19" s="50"/>
      <c r="F19" s="96"/>
      <c r="G19" s="50" t="s">
        <v>23</v>
      </c>
      <c r="H19" s="50" t="s">
        <v>796</v>
      </c>
      <c r="I19" s="50">
        <v>169802</v>
      </c>
      <c r="J19" s="50" t="s">
        <v>797</v>
      </c>
      <c r="K19" s="50" t="s">
        <v>253</v>
      </c>
      <c r="L19" s="89" t="s">
        <v>1345</v>
      </c>
    </row>
    <row r="20" spans="1:14" ht="25.5" customHeight="1">
      <c r="A20" s="50" t="s">
        <v>801</v>
      </c>
      <c r="B20" s="50" t="s">
        <v>802</v>
      </c>
      <c r="C20" s="96"/>
      <c r="D20" s="62"/>
      <c r="E20" s="62"/>
      <c r="F20" s="96"/>
      <c r="G20" s="50" t="s">
        <v>23</v>
      </c>
      <c r="H20" s="50" t="s">
        <v>803</v>
      </c>
      <c r="I20" s="54" t="s">
        <v>804</v>
      </c>
      <c r="J20" s="50" t="s">
        <v>36</v>
      </c>
      <c r="K20" s="50" t="s">
        <v>253</v>
      </c>
      <c r="L20" s="89" t="s">
        <v>1308</v>
      </c>
    </row>
    <row r="21" spans="1:14" ht="25.5" customHeight="1">
      <c r="A21" s="50" t="s">
        <v>805</v>
      </c>
      <c r="B21" s="50" t="s">
        <v>806</v>
      </c>
      <c r="C21" s="96"/>
      <c r="D21" s="62"/>
      <c r="E21" s="62"/>
      <c r="F21" s="96"/>
      <c r="G21" s="50" t="s">
        <v>807</v>
      </c>
      <c r="H21" s="50" t="s">
        <v>808</v>
      </c>
      <c r="I21" s="54" t="s">
        <v>809</v>
      </c>
      <c r="J21" s="50" t="s">
        <v>36</v>
      </c>
      <c r="K21" s="50" t="s">
        <v>253</v>
      </c>
      <c r="L21" s="89" t="s">
        <v>1308</v>
      </c>
    </row>
    <row r="22" spans="1:14" s="2" customFormat="1" ht="25.5" customHeight="1">
      <c r="A22" s="50" t="s">
        <v>1346</v>
      </c>
      <c r="B22" s="50" t="s">
        <v>256</v>
      </c>
      <c r="C22" s="97">
        <v>45131</v>
      </c>
      <c r="D22" s="50" t="s">
        <v>22</v>
      </c>
      <c r="E22" s="50">
        <v>12</v>
      </c>
      <c r="F22" s="96">
        <f>IF(E22=12,C22+365,IF(E22=24,C22+730,IF(E22="N/A","N/A")))</f>
        <v>45496</v>
      </c>
      <c r="G22" s="50" t="s">
        <v>209</v>
      </c>
      <c r="H22" s="50" t="s">
        <v>559</v>
      </c>
      <c r="I22" s="50" t="s">
        <v>1347</v>
      </c>
      <c r="J22" s="50" t="s">
        <v>1348</v>
      </c>
      <c r="K22" s="50" t="s">
        <v>26</v>
      </c>
      <c r="L22" s="89" t="s">
        <v>1310</v>
      </c>
      <c r="M22" s="3">
        <v>45295</v>
      </c>
      <c r="N22" s="3"/>
    </row>
    <row r="23" spans="1:14" ht="20.100000000000001" customHeight="1">
      <c r="A23" s="65" t="s">
        <v>1349</v>
      </c>
      <c r="B23" s="66" t="s">
        <v>1350</v>
      </c>
      <c r="C23" s="62">
        <v>44931</v>
      </c>
      <c r="D23" s="67" t="s">
        <v>22</v>
      </c>
      <c r="E23" s="65">
        <v>12</v>
      </c>
      <c r="F23" s="68" t="s">
        <v>1351</v>
      </c>
      <c r="G23" s="50" t="s">
        <v>23</v>
      </c>
      <c r="H23" s="50" t="s">
        <v>796</v>
      </c>
      <c r="I23" s="50">
        <v>169802</v>
      </c>
      <c r="J23" s="68" t="s">
        <v>797</v>
      </c>
      <c r="K23" s="55" t="s">
        <v>939</v>
      </c>
      <c r="L23" s="89" t="s">
        <v>1352</v>
      </c>
    </row>
    <row r="24" spans="1:14">
      <c r="A24"/>
      <c r="B24"/>
      <c r="C24"/>
      <c r="D24"/>
      <c r="E24"/>
      <c r="F24"/>
      <c r="G24"/>
      <c r="H24"/>
      <c r="I24"/>
      <c r="J24"/>
      <c r="K24"/>
      <c r="L24"/>
    </row>
    <row r="25" spans="1:14">
      <c r="A25"/>
      <c r="B25"/>
      <c r="C25"/>
      <c r="D25"/>
      <c r="E25"/>
      <c r="F25"/>
      <c r="G25"/>
      <c r="H25"/>
      <c r="I25"/>
      <c r="J25"/>
      <c r="K25"/>
      <c r="L25"/>
    </row>
  </sheetData>
  <autoFilter ref="A1:L21" xr:uid="{00000000-0009-0000-0000-000003000000}"/>
  <phoneticPr fontId="6" type="noConversion"/>
  <conditionalFormatting sqref="C19:C21">
    <cfRule type="cellIs" dxfId="4" priority="2" operator="lessThan">
      <formula>$M$2</formula>
    </cfRule>
  </conditionalFormatting>
  <conditionalFormatting sqref="F19:F21">
    <cfRule type="cellIs" dxfId="3" priority="3" operator="lessThan">
      <formula>$M$2</formula>
    </cfRule>
  </conditionalFormatting>
  <conditionalFormatting sqref="F22">
    <cfRule type="cellIs" dxfId="2" priority="1" operator="lessThan">
      <formula>#REF!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25"/>
  <sheetViews>
    <sheetView zoomScale="70" zoomScaleNormal="70" workbookViewId="0">
      <selection activeCell="M7" sqref="M7"/>
    </sheetView>
  </sheetViews>
  <sheetFormatPr defaultRowHeight="17.399999999999999"/>
  <cols>
    <col min="1" max="1" width="12.59765625" style="4" customWidth="1"/>
    <col min="2" max="2" width="15.5" style="4" bestFit="1" customWidth="1"/>
    <col min="3" max="3" width="45.59765625" style="4" customWidth="1"/>
    <col min="4" max="4" width="12.59765625" style="4" hidden="1" customWidth="1"/>
    <col min="5" max="5" width="10.59765625" style="4" hidden="1" customWidth="1"/>
    <col min="6" max="6" width="12.59765625" style="4" hidden="1" customWidth="1"/>
    <col min="7" max="7" width="10.59765625" style="4" hidden="1" customWidth="1"/>
    <col min="8" max="9" width="24.59765625" style="4" customWidth="1"/>
    <col min="10" max="10" width="26.59765625" style="4" bestFit="1" customWidth="1"/>
    <col min="11" max="11" width="21.59765625" style="4" customWidth="1"/>
    <col min="12" max="12" width="25.59765625" style="4" customWidth="1"/>
    <col min="13" max="13" width="7.59765625" style="4" customWidth="1"/>
    <col min="14" max="14" width="40.59765625" style="4" customWidth="1"/>
  </cols>
  <sheetData>
    <row r="1" spans="1:65" ht="17.25" customHeight="1" thickBot="1"/>
    <row r="2" spans="1:65" s="1" customFormat="1" ht="27.75" customHeight="1" thickBot="1">
      <c r="A2" s="49" t="s">
        <v>1</v>
      </c>
      <c r="B2" s="9" t="s">
        <v>2</v>
      </c>
      <c r="C2" s="49" t="s">
        <v>3</v>
      </c>
      <c r="D2" s="49" t="s">
        <v>5</v>
      </c>
      <c r="E2" s="49" t="s">
        <v>1288</v>
      </c>
      <c r="F2" s="49" t="s">
        <v>8</v>
      </c>
      <c r="G2" s="49" t="s">
        <v>6</v>
      </c>
      <c r="H2" s="49" t="s">
        <v>9</v>
      </c>
      <c r="I2" s="12" t="s">
        <v>10</v>
      </c>
      <c r="J2" s="49" t="s">
        <v>11</v>
      </c>
      <c r="K2" s="49" t="s">
        <v>12</v>
      </c>
      <c r="L2" s="49" t="s">
        <v>13</v>
      </c>
      <c r="M2" s="49" t="s">
        <v>14</v>
      </c>
      <c r="N2" s="49" t="s">
        <v>1289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25.5" customHeight="1" thickTop="1">
      <c r="A3" s="69" t="s">
        <v>1353</v>
      </c>
      <c r="B3" s="69"/>
      <c r="C3" s="69" t="s">
        <v>66</v>
      </c>
      <c r="D3" s="98"/>
      <c r="E3" s="69"/>
      <c r="F3" s="69"/>
      <c r="G3" s="99"/>
      <c r="H3" s="69" t="s">
        <v>839</v>
      </c>
      <c r="I3" s="69"/>
      <c r="J3" s="69" t="s">
        <v>840</v>
      </c>
      <c r="K3" s="70">
        <v>1876511</v>
      </c>
      <c r="L3" s="69" t="s">
        <v>153</v>
      </c>
      <c r="M3" s="69" t="s">
        <v>26</v>
      </c>
      <c r="N3" s="69" t="s">
        <v>1354</v>
      </c>
    </row>
    <row r="4" spans="1:65" s="2" customFormat="1" ht="25.5" customHeight="1">
      <c r="A4" s="69" t="s">
        <v>1355</v>
      </c>
      <c r="B4" s="69"/>
      <c r="C4" s="69" t="s">
        <v>1356</v>
      </c>
      <c r="D4" s="71"/>
      <c r="E4" s="69"/>
      <c r="F4" s="72"/>
      <c r="G4" s="69"/>
      <c r="H4" s="69" t="s">
        <v>313</v>
      </c>
      <c r="I4" s="69"/>
      <c r="J4" s="69">
        <v>1575</v>
      </c>
      <c r="K4" s="69" t="s">
        <v>1357</v>
      </c>
      <c r="L4" s="69" t="s">
        <v>1358</v>
      </c>
      <c r="M4" s="69" t="s">
        <v>110</v>
      </c>
      <c r="N4" s="73" t="s">
        <v>968</v>
      </c>
    </row>
    <row r="5" spans="1:65" ht="25.5" customHeight="1">
      <c r="A5" s="69" t="s">
        <v>1359</v>
      </c>
      <c r="B5" s="69"/>
      <c r="C5" s="69" t="s">
        <v>1356</v>
      </c>
      <c r="D5" s="71"/>
      <c r="E5" s="69"/>
      <c r="F5" s="72"/>
      <c r="G5" s="69"/>
      <c r="H5" s="69" t="s">
        <v>313</v>
      </c>
      <c r="I5" s="69"/>
      <c r="J5" s="69">
        <v>1575</v>
      </c>
      <c r="K5" s="69" t="s">
        <v>1360</v>
      </c>
      <c r="L5" s="69" t="s">
        <v>1358</v>
      </c>
      <c r="M5" s="69" t="s">
        <v>110</v>
      </c>
      <c r="N5" s="73" t="s">
        <v>968</v>
      </c>
    </row>
    <row r="6" spans="1:65" ht="25.5" customHeight="1">
      <c r="A6" s="69" t="s">
        <v>1361</v>
      </c>
      <c r="B6" s="69"/>
      <c r="C6" s="69" t="s">
        <v>1356</v>
      </c>
      <c r="D6" s="71"/>
      <c r="E6" s="69"/>
      <c r="F6" s="72"/>
      <c r="G6" s="69"/>
      <c r="H6" s="69" t="s">
        <v>313</v>
      </c>
      <c r="I6" s="69"/>
      <c r="J6" s="69">
        <v>1575</v>
      </c>
      <c r="K6" s="69" t="s">
        <v>1362</v>
      </c>
      <c r="L6" s="69" t="s">
        <v>1358</v>
      </c>
      <c r="M6" s="69" t="s">
        <v>110</v>
      </c>
      <c r="N6" s="73" t="s">
        <v>968</v>
      </c>
    </row>
    <row r="7" spans="1:65" ht="25.5" customHeight="1">
      <c r="A7" s="69" t="s">
        <v>1363</v>
      </c>
      <c r="B7" s="69"/>
      <c r="C7" s="69" t="s">
        <v>1356</v>
      </c>
      <c r="D7" s="71"/>
      <c r="E7" s="69"/>
      <c r="F7" s="72"/>
      <c r="G7" s="69"/>
      <c r="H7" s="69" t="s">
        <v>313</v>
      </c>
      <c r="I7" s="69"/>
      <c r="J7" s="69" t="s">
        <v>1364</v>
      </c>
      <c r="K7" s="69" t="s">
        <v>1365</v>
      </c>
      <c r="L7" s="69" t="s">
        <v>1358</v>
      </c>
      <c r="M7" s="69" t="s">
        <v>110</v>
      </c>
      <c r="N7" s="73" t="s">
        <v>968</v>
      </c>
    </row>
    <row r="8" spans="1:65" ht="25.5" customHeight="1">
      <c r="A8" s="69" t="s">
        <v>1366</v>
      </c>
      <c r="B8" s="69"/>
      <c r="C8" s="69" t="s">
        <v>1356</v>
      </c>
      <c r="D8" s="71"/>
      <c r="E8" s="69"/>
      <c r="F8" s="72"/>
      <c r="G8" s="69"/>
      <c r="H8" s="69" t="s">
        <v>313</v>
      </c>
      <c r="I8" s="69"/>
      <c r="J8" s="69" t="s">
        <v>1364</v>
      </c>
      <c r="K8" s="69" t="s">
        <v>1367</v>
      </c>
      <c r="L8" s="69" t="s">
        <v>1358</v>
      </c>
      <c r="M8" s="69" t="s">
        <v>110</v>
      </c>
      <c r="N8" s="73" t="s">
        <v>968</v>
      </c>
    </row>
    <row r="9" spans="1:65" ht="25.5" customHeight="1">
      <c r="A9" s="69" t="s">
        <v>1368</v>
      </c>
      <c r="B9" s="69"/>
      <c r="C9" s="69" t="s">
        <v>1356</v>
      </c>
      <c r="D9" s="72"/>
      <c r="E9" s="69"/>
      <c r="F9" s="72"/>
      <c r="G9" s="69"/>
      <c r="H9" s="69" t="s">
        <v>313</v>
      </c>
      <c r="I9" s="69"/>
      <c r="J9" s="69">
        <v>1594</v>
      </c>
      <c r="K9" s="69" t="s">
        <v>1369</v>
      </c>
      <c r="L9" s="69" t="s">
        <v>278</v>
      </c>
      <c r="M9" s="69" t="s">
        <v>110</v>
      </c>
      <c r="N9" s="73" t="s">
        <v>968</v>
      </c>
    </row>
    <row r="10" spans="1:65" ht="25.5" customHeight="1">
      <c r="A10" s="69" t="s">
        <v>1370</v>
      </c>
      <c r="B10" s="69"/>
      <c r="C10" s="69" t="s">
        <v>233</v>
      </c>
      <c r="D10" s="72"/>
      <c r="E10" s="69"/>
      <c r="F10" s="72"/>
      <c r="G10" s="69"/>
      <c r="H10" s="69" t="s">
        <v>234</v>
      </c>
      <c r="I10" s="69"/>
      <c r="J10" s="69" t="s">
        <v>235</v>
      </c>
      <c r="K10" s="69" t="s">
        <v>1371</v>
      </c>
      <c r="L10" s="69" t="s">
        <v>237</v>
      </c>
      <c r="M10" s="69" t="s">
        <v>110</v>
      </c>
      <c r="N10" s="73"/>
    </row>
    <row r="11" spans="1:65" ht="25.5" customHeight="1">
      <c r="A11" s="69" t="s">
        <v>1372</v>
      </c>
      <c r="B11" s="69"/>
      <c r="C11" s="69" t="s">
        <v>226</v>
      </c>
      <c r="D11" s="72"/>
      <c r="E11" s="69"/>
      <c r="F11" s="72"/>
      <c r="G11" s="69"/>
      <c r="H11" s="69" t="s">
        <v>227</v>
      </c>
      <c r="I11" s="69"/>
      <c r="J11" s="69" t="s">
        <v>1373</v>
      </c>
      <c r="K11" s="69" t="s">
        <v>1374</v>
      </c>
      <c r="L11" s="69" t="s">
        <v>228</v>
      </c>
      <c r="M11" s="69" t="s">
        <v>110</v>
      </c>
      <c r="N11" s="73" t="s">
        <v>1375</v>
      </c>
    </row>
    <row r="12" spans="1:65" ht="25.5" customHeight="1">
      <c r="A12" s="69" t="s">
        <v>1376</v>
      </c>
      <c r="B12" s="69"/>
      <c r="C12" s="69" t="s">
        <v>226</v>
      </c>
      <c r="D12" s="72"/>
      <c r="E12" s="69"/>
      <c r="F12" s="72"/>
      <c r="G12" s="69"/>
      <c r="H12" s="69" t="s">
        <v>227</v>
      </c>
      <c r="I12" s="69"/>
      <c r="J12" s="69" t="s">
        <v>1373</v>
      </c>
      <c r="K12" s="69" t="s">
        <v>1377</v>
      </c>
      <c r="L12" s="69" t="s">
        <v>228</v>
      </c>
      <c r="M12" s="69" t="s">
        <v>110</v>
      </c>
      <c r="N12" s="73"/>
    </row>
    <row r="13" spans="1:65" ht="25.5" customHeight="1">
      <c r="A13" s="69" t="s">
        <v>1378</v>
      </c>
      <c r="B13" s="69"/>
      <c r="C13" s="69" t="s">
        <v>795</v>
      </c>
      <c r="D13" s="72"/>
      <c r="E13" s="69"/>
      <c r="F13" s="72"/>
      <c r="G13" s="71"/>
      <c r="H13" s="69" t="s">
        <v>23</v>
      </c>
      <c r="I13" s="69"/>
      <c r="J13" s="69" t="s">
        <v>796</v>
      </c>
      <c r="K13" s="69" t="s">
        <v>1379</v>
      </c>
      <c r="L13" s="69" t="s">
        <v>800</v>
      </c>
      <c r="M13" s="69" t="s">
        <v>110</v>
      </c>
      <c r="N13" s="73"/>
    </row>
    <row r="14" spans="1:65" ht="25.5" customHeight="1">
      <c r="A14" s="69" t="s">
        <v>1380</v>
      </c>
      <c r="B14" s="69"/>
      <c r="C14" s="69" t="s">
        <v>795</v>
      </c>
      <c r="D14" s="72"/>
      <c r="E14" s="69"/>
      <c r="F14" s="71"/>
      <c r="G14" s="71"/>
      <c r="H14" s="69" t="s">
        <v>23</v>
      </c>
      <c r="I14" s="69"/>
      <c r="J14" s="69" t="s">
        <v>796</v>
      </c>
      <c r="K14" s="69" t="s">
        <v>1381</v>
      </c>
      <c r="L14" s="69" t="s">
        <v>800</v>
      </c>
      <c r="M14" s="69" t="s">
        <v>26</v>
      </c>
      <c r="N14" s="73"/>
    </row>
    <row r="15" spans="1:65" ht="25.5" customHeight="1">
      <c r="A15" s="69" t="s">
        <v>1382</v>
      </c>
      <c r="B15" s="69"/>
      <c r="C15" s="69" t="s">
        <v>795</v>
      </c>
      <c r="D15" s="72"/>
      <c r="E15" s="69"/>
      <c r="F15" s="71"/>
      <c r="G15" s="71"/>
      <c r="H15" s="69" t="s">
        <v>23</v>
      </c>
      <c r="I15" s="69"/>
      <c r="J15" s="69" t="s">
        <v>796</v>
      </c>
      <c r="K15" s="69" t="s">
        <v>1383</v>
      </c>
      <c r="L15" s="69" t="s">
        <v>800</v>
      </c>
      <c r="M15" s="69" t="s">
        <v>90</v>
      </c>
      <c r="N15" s="73"/>
    </row>
    <row r="16" spans="1:65" ht="25.5" customHeight="1">
      <c r="A16" s="69" t="s">
        <v>1384</v>
      </c>
      <c r="B16" s="69"/>
      <c r="C16" s="69" t="s">
        <v>84</v>
      </c>
      <c r="D16" s="98">
        <v>45131</v>
      </c>
      <c r="E16" s="69" t="s">
        <v>22</v>
      </c>
      <c r="F16" s="69">
        <v>12</v>
      </c>
      <c r="G16" s="99">
        <f>IF(F16=12,D16+365,IF(F16=24,D16+730,IF(F16="N/A","N/A")))</f>
        <v>45496</v>
      </c>
      <c r="H16" s="69" t="s">
        <v>86</v>
      </c>
      <c r="I16" s="69"/>
      <c r="J16" s="69" t="s">
        <v>460</v>
      </c>
      <c r="K16" s="69" t="s">
        <v>1385</v>
      </c>
      <c r="L16" s="69" t="s">
        <v>461</v>
      </c>
      <c r="M16" s="69" t="s">
        <v>90</v>
      </c>
      <c r="N16" s="69"/>
      <c r="O16" s="3"/>
      <c r="P16" s="3"/>
    </row>
    <row r="17" spans="1:16" ht="25.5" customHeight="1">
      <c r="A17" s="69" t="s">
        <v>1386</v>
      </c>
      <c r="B17" s="69"/>
      <c r="C17" s="69" t="s">
        <v>721</v>
      </c>
      <c r="D17" s="98"/>
      <c r="E17" s="69"/>
      <c r="F17" s="69"/>
      <c r="G17" s="99"/>
      <c r="H17" s="69" t="s">
        <v>234</v>
      </c>
      <c r="I17" s="69"/>
      <c r="J17" s="69" t="s">
        <v>722</v>
      </c>
      <c r="K17" s="70" t="s">
        <v>1387</v>
      </c>
      <c r="L17" s="69" t="s">
        <v>36</v>
      </c>
      <c r="M17" s="69" t="s">
        <v>110</v>
      </c>
      <c r="N17" s="69"/>
    </row>
    <row r="18" spans="1:16">
      <c r="A18" s="69" t="s">
        <v>1388</v>
      </c>
      <c r="B18" s="69"/>
      <c r="C18" s="69" t="s">
        <v>968</v>
      </c>
      <c r="D18" s="98"/>
      <c r="E18" s="69"/>
      <c r="F18" s="69"/>
      <c r="G18" s="99"/>
      <c r="H18" s="69" t="s">
        <v>234</v>
      </c>
      <c r="I18" s="69"/>
      <c r="J18" s="69">
        <v>1575</v>
      </c>
      <c r="K18" s="70">
        <v>2781</v>
      </c>
      <c r="L18" s="69" t="s">
        <v>970</v>
      </c>
      <c r="M18" s="69" t="s">
        <v>939</v>
      </c>
      <c r="N18" s="69"/>
    </row>
    <row r="19" spans="1:16">
      <c r="A19" s="69" t="s">
        <v>1389</v>
      </c>
      <c r="B19" s="69"/>
      <c r="C19" s="69" t="s">
        <v>972</v>
      </c>
      <c r="D19" s="98">
        <v>44050</v>
      </c>
      <c r="E19" s="69" t="s">
        <v>22</v>
      </c>
      <c r="F19" s="69">
        <v>12</v>
      </c>
      <c r="G19" s="99">
        <f>IF(F19=12,D19+365,IF(F19=24,D19+730,IF(F19="N/A","N/A")))</f>
        <v>44415</v>
      </c>
      <c r="H19" s="69" t="s">
        <v>234</v>
      </c>
      <c r="I19" s="69"/>
      <c r="J19" s="69" t="s">
        <v>1206</v>
      </c>
      <c r="K19" s="70">
        <v>68936</v>
      </c>
      <c r="L19" s="69" t="s">
        <v>1390</v>
      </c>
      <c r="M19" s="69" t="s">
        <v>939</v>
      </c>
      <c r="N19" s="69"/>
    </row>
    <row r="20" spans="1:16">
      <c r="A20" s="69" t="s">
        <v>1391</v>
      </c>
      <c r="B20" s="69"/>
      <c r="C20" s="69" t="s">
        <v>1392</v>
      </c>
      <c r="D20" s="98" t="s">
        <v>1392</v>
      </c>
      <c r="E20" s="69"/>
      <c r="F20" s="69"/>
      <c r="G20" s="99"/>
      <c r="H20" s="69" t="s">
        <v>23</v>
      </c>
      <c r="I20" s="69"/>
      <c r="J20" s="69" t="s">
        <v>1393</v>
      </c>
      <c r="K20" s="70">
        <v>100357</v>
      </c>
      <c r="L20" s="69" t="s">
        <v>1394</v>
      </c>
      <c r="M20" s="69" t="s">
        <v>944</v>
      </c>
      <c r="N20" s="69"/>
    </row>
    <row r="21" spans="1:16">
      <c r="A21" s="69" t="s">
        <v>1395</v>
      </c>
      <c r="B21" s="69"/>
      <c r="C21" s="69" t="s">
        <v>972</v>
      </c>
      <c r="D21" s="98"/>
      <c r="E21" s="69"/>
      <c r="F21" s="69"/>
      <c r="G21" s="99"/>
      <c r="H21" s="69" t="s">
        <v>234</v>
      </c>
      <c r="I21" s="69"/>
      <c r="J21" s="69" t="s">
        <v>1125</v>
      </c>
      <c r="K21" s="70">
        <v>1</v>
      </c>
      <c r="L21" s="69" t="s">
        <v>1126</v>
      </c>
      <c r="M21" s="69" t="s">
        <v>939</v>
      </c>
      <c r="N21" s="69"/>
    </row>
    <row r="22" spans="1:16" s="2" customFormat="1" ht="25.5" customHeight="1">
      <c r="A22" s="69" t="s">
        <v>1396</v>
      </c>
      <c r="B22" s="69"/>
      <c r="C22" s="69" t="s">
        <v>1356</v>
      </c>
      <c r="D22" s="72">
        <v>45131</v>
      </c>
      <c r="E22" s="69" t="s">
        <v>22</v>
      </c>
      <c r="F22" s="69">
        <v>12</v>
      </c>
      <c r="G22" s="99">
        <f>IF(F22=12,D22+365,IF(F22=24,D22+730,IF(F22="N/A","N/A")))</f>
        <v>45496</v>
      </c>
      <c r="H22" s="69" t="s">
        <v>313</v>
      </c>
      <c r="I22" s="69"/>
      <c r="J22" s="69" t="s">
        <v>1397</v>
      </c>
      <c r="K22" s="69" t="s">
        <v>1398</v>
      </c>
      <c r="L22" s="69" t="s">
        <v>278</v>
      </c>
      <c r="M22" s="69" t="s">
        <v>110</v>
      </c>
      <c r="N22" s="74"/>
      <c r="O22" s="3"/>
      <c r="P22" s="3"/>
    </row>
    <row r="23" spans="1:16" ht="20.100000000000001" customHeight="1">
      <c r="A23" s="69" t="s">
        <v>1399</v>
      </c>
      <c r="B23" s="69"/>
      <c r="C23" s="69" t="s">
        <v>130</v>
      </c>
      <c r="D23" s="72">
        <v>45133</v>
      </c>
      <c r="E23" s="69" t="s">
        <v>22</v>
      </c>
      <c r="F23" s="69">
        <v>12</v>
      </c>
      <c r="G23" s="99" t="s">
        <v>367</v>
      </c>
      <c r="H23" s="69" t="s">
        <v>131</v>
      </c>
      <c r="I23" s="69"/>
      <c r="J23" s="69" t="s">
        <v>132</v>
      </c>
      <c r="K23" s="69" t="s">
        <v>1400</v>
      </c>
      <c r="L23" s="69" t="s">
        <v>1401</v>
      </c>
      <c r="M23" s="69" t="s">
        <v>939</v>
      </c>
      <c r="N23" s="74" t="s">
        <v>1402</v>
      </c>
    </row>
    <row r="24" spans="1:16" ht="20.100000000000001" customHeight="1">
      <c r="A24" s="69" t="s">
        <v>1403</v>
      </c>
      <c r="B24" s="69"/>
      <c r="C24" s="69" t="s">
        <v>1404</v>
      </c>
      <c r="D24" s="72">
        <v>45132</v>
      </c>
      <c r="E24" s="69" t="s">
        <v>22</v>
      </c>
      <c r="F24" s="69">
        <v>12</v>
      </c>
      <c r="G24" s="99">
        <f>IF(F24=12,D24+365,IF(F24=24,D24+730,IF(F24="N/A","N/A")))</f>
        <v>45497</v>
      </c>
      <c r="H24" s="69" t="s">
        <v>839</v>
      </c>
      <c r="I24" s="69"/>
      <c r="J24" s="69" t="s">
        <v>840</v>
      </c>
      <c r="K24" s="69" t="s">
        <v>1405</v>
      </c>
      <c r="L24" s="69" t="s">
        <v>153</v>
      </c>
      <c r="M24" s="69" t="s">
        <v>90</v>
      </c>
      <c r="N24" s="74" t="s">
        <v>1406</v>
      </c>
    </row>
    <row r="25" spans="1:16" ht="25.5" customHeight="1">
      <c r="A25" s="69" t="s">
        <v>1407</v>
      </c>
      <c r="B25" s="69"/>
      <c r="C25" s="69" t="s">
        <v>968</v>
      </c>
      <c r="D25" s="98">
        <v>45131</v>
      </c>
      <c r="E25" s="69" t="s">
        <v>22</v>
      </c>
      <c r="F25" s="69">
        <v>12</v>
      </c>
      <c r="G25" s="99">
        <f>IF(F25=12,D25+366,IF(F25=24,D25+731,IF(F25="N/A","N/A")))</f>
        <v>45497</v>
      </c>
      <c r="H25" s="69" t="s">
        <v>234</v>
      </c>
      <c r="I25" s="69"/>
      <c r="J25" s="69">
        <v>1580</v>
      </c>
      <c r="K25" s="70" t="s">
        <v>1408</v>
      </c>
      <c r="L25" s="75" t="s">
        <v>970</v>
      </c>
      <c r="M25" s="69" t="s">
        <v>939</v>
      </c>
      <c r="N25" s="69"/>
    </row>
  </sheetData>
  <phoneticPr fontId="6" type="noConversion"/>
  <conditionalFormatting sqref="G16">
    <cfRule type="cellIs" dxfId="1" priority="4" operator="lessThan">
      <formula>#REF!</formula>
    </cfRule>
  </conditionalFormatting>
  <conditionalFormatting sqref="G22:G25">
    <cfRule type="cellIs" dxfId="0" priority="1" operator="lessThan">
      <formula>#REF!</formula>
    </cfRule>
  </conditionalFormatting>
  <pageMargins left="0.7" right="0.7" top="0.75" bottom="0.75" header="0.3" footer="0.3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selection activeCell="F12" sqref="F12"/>
    </sheetView>
  </sheetViews>
  <sheetFormatPr defaultRowHeight="17.399999999999999"/>
  <cols>
    <col min="1" max="1" width="10.09765625" style="48" bestFit="1" customWidth="1"/>
    <col min="2" max="2" width="29.8984375" style="48" bestFit="1" customWidth="1"/>
    <col min="3" max="3" width="13.59765625" style="48" bestFit="1" customWidth="1"/>
    <col min="4" max="4" width="10.59765625" style="48" bestFit="1" customWidth="1"/>
    <col min="6" max="6" width="13" style="48" bestFit="1" customWidth="1"/>
    <col min="7" max="7" width="50.5" style="48" bestFit="1" customWidth="1"/>
  </cols>
  <sheetData>
    <row r="1" spans="1:7" ht="18" customHeight="1" thickBot="1">
      <c r="A1" s="86" t="s">
        <v>1</v>
      </c>
      <c r="B1" s="87" t="s">
        <v>3</v>
      </c>
      <c r="C1" s="87" t="s">
        <v>9</v>
      </c>
      <c r="D1" s="87" t="s">
        <v>11</v>
      </c>
      <c r="E1" s="87" t="s">
        <v>12</v>
      </c>
      <c r="F1" s="87" t="s">
        <v>13</v>
      </c>
      <c r="G1" s="87" t="s">
        <v>1409</v>
      </c>
    </row>
    <row r="2" spans="1:7" ht="17.25" customHeight="1" thickBot="1">
      <c r="A2" s="83" t="s">
        <v>44</v>
      </c>
      <c r="B2" s="84" t="s">
        <v>46</v>
      </c>
      <c r="C2" s="84" t="s">
        <v>48</v>
      </c>
      <c r="D2" s="84" t="s">
        <v>1410</v>
      </c>
      <c r="E2" s="84">
        <v>750</v>
      </c>
      <c r="F2" s="84" t="s">
        <v>1411</v>
      </c>
      <c r="G2" s="85" t="s">
        <v>1412</v>
      </c>
    </row>
    <row r="3" spans="1:7" ht="17.25" customHeight="1" thickBot="1">
      <c r="A3" s="83" t="s">
        <v>129</v>
      </c>
      <c r="B3" s="84" t="s">
        <v>130</v>
      </c>
      <c r="C3" s="84" t="s">
        <v>131</v>
      </c>
      <c r="D3" s="84" t="s">
        <v>132</v>
      </c>
      <c r="E3" s="84" t="s">
        <v>133</v>
      </c>
      <c r="F3" s="84" t="s">
        <v>1401</v>
      </c>
      <c r="G3" s="85" t="s">
        <v>1413</v>
      </c>
    </row>
    <row r="4" spans="1:7" ht="17.25" customHeight="1" thickBot="1">
      <c r="A4" s="83" t="s">
        <v>135</v>
      </c>
      <c r="B4" s="84" t="s">
        <v>130</v>
      </c>
      <c r="C4" s="84" t="s">
        <v>131</v>
      </c>
      <c r="D4" s="84" t="s">
        <v>132</v>
      </c>
      <c r="E4" s="84" t="s">
        <v>136</v>
      </c>
      <c r="F4" s="84" t="s">
        <v>1401</v>
      </c>
      <c r="G4" s="85" t="s">
        <v>1413</v>
      </c>
    </row>
    <row r="5" spans="1:7" ht="17.25" customHeight="1" thickBot="1">
      <c r="A5" s="83" t="s">
        <v>244</v>
      </c>
      <c r="B5" s="84" t="s">
        <v>246</v>
      </c>
      <c r="C5" s="84" t="s">
        <v>247</v>
      </c>
      <c r="D5" s="84" t="s">
        <v>248</v>
      </c>
      <c r="E5" s="84">
        <v>93001109</v>
      </c>
      <c r="F5" s="84" t="s">
        <v>1401</v>
      </c>
      <c r="G5" s="85" t="s">
        <v>1414</v>
      </c>
    </row>
    <row r="6" spans="1:7" ht="17.25" customHeight="1" thickBot="1">
      <c r="A6" s="83" t="s">
        <v>250</v>
      </c>
      <c r="B6" s="84" t="s">
        <v>246</v>
      </c>
      <c r="C6" s="84" t="s">
        <v>247</v>
      </c>
      <c r="D6" s="84" t="s">
        <v>252</v>
      </c>
      <c r="E6" s="84">
        <v>15004769</v>
      </c>
      <c r="F6" s="84" t="s">
        <v>1401</v>
      </c>
      <c r="G6" s="85" t="s">
        <v>1414</v>
      </c>
    </row>
    <row r="7" spans="1:7" ht="17.25" customHeight="1" thickBot="1">
      <c r="A7" s="83" t="s">
        <v>366</v>
      </c>
      <c r="B7" s="84" t="s">
        <v>130</v>
      </c>
      <c r="C7" s="84" t="s">
        <v>131</v>
      </c>
      <c r="D7" s="84" t="s">
        <v>132</v>
      </c>
      <c r="E7" s="84" t="s">
        <v>368</v>
      </c>
      <c r="F7" s="84" t="s">
        <v>1401</v>
      </c>
      <c r="G7" s="85" t="s">
        <v>1413</v>
      </c>
    </row>
    <row r="8" spans="1:7" ht="17.25" customHeight="1" thickBot="1">
      <c r="A8" s="83" t="s">
        <v>369</v>
      </c>
      <c r="B8" s="84" t="s">
        <v>130</v>
      </c>
      <c r="C8" s="84" t="s">
        <v>131</v>
      </c>
      <c r="D8" s="84" t="s">
        <v>132</v>
      </c>
      <c r="E8" s="84" t="s">
        <v>370</v>
      </c>
      <c r="F8" s="84" t="s">
        <v>1401</v>
      </c>
      <c r="G8" s="85" t="s">
        <v>1413</v>
      </c>
    </row>
    <row r="9" spans="1:7" ht="17.25" customHeight="1" thickBot="1">
      <c r="A9" s="83" t="s">
        <v>371</v>
      </c>
      <c r="B9" s="84" t="s">
        <v>130</v>
      </c>
      <c r="C9" s="84" t="s">
        <v>131</v>
      </c>
      <c r="D9" s="84" t="s">
        <v>132</v>
      </c>
      <c r="E9" s="84" t="s">
        <v>372</v>
      </c>
      <c r="F9" s="84" t="s">
        <v>249</v>
      </c>
      <c r="G9" s="85" t="s">
        <v>1413</v>
      </c>
    </row>
    <row r="10" spans="1:7" ht="17.25" customHeight="1" thickBot="1">
      <c r="A10" s="83" t="s">
        <v>410</v>
      </c>
      <c r="B10" s="84" t="s">
        <v>46</v>
      </c>
      <c r="C10" s="84" t="s">
        <v>48</v>
      </c>
      <c r="D10" s="84" t="s">
        <v>1410</v>
      </c>
      <c r="E10" s="84">
        <v>845</v>
      </c>
      <c r="F10" s="84" t="s">
        <v>1415</v>
      </c>
      <c r="G10" s="85" t="s">
        <v>1412</v>
      </c>
    </row>
    <row r="11" spans="1:7" ht="17.25" customHeight="1" thickBot="1">
      <c r="A11" s="83" t="s">
        <v>474</v>
      </c>
      <c r="B11" s="84" t="s">
        <v>475</v>
      </c>
      <c r="C11" s="84" t="s">
        <v>1416</v>
      </c>
      <c r="D11" s="84" t="s">
        <v>477</v>
      </c>
      <c r="E11" s="84" t="s">
        <v>478</v>
      </c>
      <c r="F11" s="84" t="s">
        <v>1417</v>
      </c>
      <c r="G11" s="85" t="s">
        <v>1418</v>
      </c>
    </row>
    <row r="12" spans="1:7" ht="17.25" customHeight="1" thickBot="1">
      <c r="A12" s="83" t="s">
        <v>480</v>
      </c>
      <c r="B12" s="84" t="s">
        <v>475</v>
      </c>
      <c r="C12" s="84" t="s">
        <v>1416</v>
      </c>
      <c r="D12" s="84" t="s">
        <v>477</v>
      </c>
      <c r="E12" s="84" t="s">
        <v>481</v>
      </c>
      <c r="F12" s="84" t="s">
        <v>1417</v>
      </c>
      <c r="G12" s="85" t="s">
        <v>1419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80"/>
  <sheetViews>
    <sheetView topLeftCell="A7" zoomScale="115" zoomScaleNormal="115" workbookViewId="0">
      <selection activeCell="A10" sqref="A10"/>
    </sheetView>
  </sheetViews>
  <sheetFormatPr defaultColWidth="8.59765625" defaultRowHeight="15" customHeight="1"/>
  <cols>
    <col min="1" max="1" width="7.09765625" style="78" bestFit="1" customWidth="1"/>
    <col min="2" max="2" width="2.59765625" style="78" bestFit="1" customWidth="1"/>
    <col min="3" max="3" width="15.59765625" style="78" customWidth="1"/>
    <col min="4" max="4" width="7.09765625" style="78" bestFit="1" customWidth="1"/>
    <col min="5" max="5" width="2.59765625" style="78" customWidth="1"/>
    <col min="6" max="6" width="15.59765625" style="78" customWidth="1"/>
    <col min="7" max="7" width="7.09765625" style="78" bestFit="1" customWidth="1"/>
    <col min="8" max="8" width="2.59765625" style="78" bestFit="1" customWidth="1"/>
    <col min="9" max="9" width="15.59765625" style="78" customWidth="1"/>
    <col min="10" max="10" width="3.59765625" style="78" customWidth="1"/>
    <col min="11" max="11" width="10.59765625" style="78" bestFit="1" customWidth="1"/>
    <col min="12" max="14" width="8.59765625" style="78" customWidth="1"/>
    <col min="15" max="16384" width="8.59765625" style="78"/>
  </cols>
  <sheetData>
    <row r="1" spans="1:11" ht="14.1" customHeight="1" thickTop="1">
      <c r="A1" s="76" t="s">
        <v>1</v>
      </c>
      <c r="B1" s="105" t="str">
        <f>K1</f>
        <v>SUW-E0100</v>
      </c>
      <c r="C1" s="106"/>
      <c r="D1" s="76" t="s">
        <v>1</v>
      </c>
      <c r="E1" s="105" t="str">
        <f>K2</f>
        <v>SUW-E0101</v>
      </c>
      <c r="F1" s="106"/>
      <c r="G1" s="76" t="s">
        <v>1</v>
      </c>
      <c r="H1" s="105" t="str">
        <f>K3</f>
        <v>SUW-E0102</v>
      </c>
      <c r="I1" s="106"/>
      <c r="J1" s="77"/>
      <c r="K1" s="78" t="s">
        <v>352</v>
      </c>
    </row>
    <row r="2" spans="1:11" ht="14.1" customHeight="1">
      <c r="A2" s="90" t="s">
        <v>3</v>
      </c>
      <c r="B2" s="107" t="s">
        <v>240</v>
      </c>
      <c r="C2" s="108"/>
      <c r="D2" s="90" t="s">
        <v>3</v>
      </c>
      <c r="E2" s="107" t="s">
        <v>240</v>
      </c>
      <c r="F2" s="108"/>
      <c r="G2" s="90" t="s">
        <v>3</v>
      </c>
      <c r="H2" s="107" t="s">
        <v>357</v>
      </c>
      <c r="I2" s="108"/>
      <c r="J2" s="77"/>
      <c r="K2" s="78" t="s">
        <v>354</v>
      </c>
    </row>
    <row r="3" spans="1:11" ht="14.1" customHeight="1">
      <c r="A3" s="90" t="s">
        <v>11</v>
      </c>
      <c r="B3" s="107" t="s">
        <v>241</v>
      </c>
      <c r="C3" s="108"/>
      <c r="D3" s="90" t="s">
        <v>11</v>
      </c>
      <c r="E3" s="107" t="s">
        <v>241</v>
      </c>
      <c r="F3" s="108"/>
      <c r="G3" s="90" t="s">
        <v>11</v>
      </c>
      <c r="H3" s="107" t="s">
        <v>359</v>
      </c>
      <c r="I3" s="108"/>
      <c r="J3" s="77"/>
      <c r="K3" s="78" t="s">
        <v>356</v>
      </c>
    </row>
    <row r="4" spans="1:11" ht="14.1" customHeight="1">
      <c r="A4" s="90" t="s">
        <v>12</v>
      </c>
      <c r="B4" s="107" t="s">
        <v>353</v>
      </c>
      <c r="C4" s="108"/>
      <c r="D4" s="90" t="s">
        <v>12</v>
      </c>
      <c r="E4" s="107" t="s">
        <v>355</v>
      </c>
      <c r="F4" s="108"/>
      <c r="G4" s="90" t="s">
        <v>12</v>
      </c>
      <c r="H4" s="107" t="s">
        <v>360</v>
      </c>
      <c r="I4" s="108"/>
      <c r="J4" s="77"/>
      <c r="K4" s="78" t="s">
        <v>362</v>
      </c>
    </row>
    <row r="5" spans="1:11" ht="14.1" customHeight="1">
      <c r="A5" s="103" t="s">
        <v>1420</v>
      </c>
      <c r="B5" s="89" t="s">
        <v>1421</v>
      </c>
      <c r="C5" s="79" t="s">
        <v>1422</v>
      </c>
      <c r="D5" s="103" t="s">
        <v>1420</v>
      </c>
      <c r="E5" s="89" t="s">
        <v>1421</v>
      </c>
      <c r="F5" s="79" t="s">
        <v>1422</v>
      </c>
      <c r="G5" s="103" t="s">
        <v>1420</v>
      </c>
      <c r="H5" s="89" t="s">
        <v>1421</v>
      </c>
      <c r="I5" s="79" t="s">
        <v>1422</v>
      </c>
      <c r="J5" s="77"/>
      <c r="K5" s="78" t="s">
        <v>364</v>
      </c>
    </row>
    <row r="6" spans="1:11" ht="14.1" customHeight="1">
      <c r="A6" s="104"/>
      <c r="B6" s="89" t="s">
        <v>1423</v>
      </c>
      <c r="C6" s="79" t="s">
        <v>1424</v>
      </c>
      <c r="D6" s="104"/>
      <c r="E6" s="89" t="s">
        <v>1423</v>
      </c>
      <c r="F6" s="79" t="s">
        <v>1424</v>
      </c>
      <c r="G6" s="104"/>
      <c r="H6" s="89" t="s">
        <v>1423</v>
      </c>
      <c r="I6" s="79" t="s">
        <v>1424</v>
      </c>
      <c r="J6" s="77"/>
      <c r="K6" s="78" t="s">
        <v>366</v>
      </c>
    </row>
    <row r="7" spans="1:11" ht="14.1" customHeight="1" thickBot="1">
      <c r="A7" s="100" t="s">
        <v>1425</v>
      </c>
      <c r="B7" s="101"/>
      <c r="C7" s="102"/>
      <c r="D7" s="100" t="s">
        <v>1425</v>
      </c>
      <c r="E7" s="101"/>
      <c r="F7" s="102"/>
      <c r="G7" s="100" t="s">
        <v>1425</v>
      </c>
      <c r="H7" s="101"/>
      <c r="I7" s="102"/>
      <c r="J7" s="80"/>
      <c r="K7" s="78" t="s">
        <v>369</v>
      </c>
    </row>
    <row r="8" spans="1:11" ht="14.1" customHeight="1" thickTop="1">
      <c r="A8" s="76" t="s">
        <v>1</v>
      </c>
      <c r="B8" s="105" t="str">
        <f>K4</f>
        <v>SUW-E0103</v>
      </c>
      <c r="C8" s="106"/>
      <c r="D8" s="76" t="s">
        <v>1</v>
      </c>
      <c r="E8" s="105" t="str">
        <f>K5</f>
        <v>SUW-E0104</v>
      </c>
      <c r="F8" s="106"/>
      <c r="G8" s="76" t="s">
        <v>1</v>
      </c>
      <c r="H8" s="105" t="str">
        <f>K6</f>
        <v>SUW-E0105</v>
      </c>
      <c r="I8" s="106"/>
      <c r="J8" s="77"/>
      <c r="K8" s="78" t="s">
        <v>371</v>
      </c>
    </row>
    <row r="9" spans="1:11" ht="14.1" customHeight="1">
      <c r="A9" s="90" t="s">
        <v>3</v>
      </c>
      <c r="B9" s="107" t="s">
        <v>357</v>
      </c>
      <c r="C9" s="108"/>
      <c r="D9" s="90" t="s">
        <v>3</v>
      </c>
      <c r="E9" s="107" t="s">
        <v>357</v>
      </c>
      <c r="F9" s="108"/>
      <c r="G9" s="90" t="s">
        <v>3</v>
      </c>
      <c r="H9" s="107" t="s">
        <v>130</v>
      </c>
      <c r="I9" s="108"/>
      <c r="J9" s="77"/>
      <c r="K9" s="78" t="s">
        <v>373</v>
      </c>
    </row>
    <row r="10" spans="1:11" ht="14.1" customHeight="1">
      <c r="A10" s="90" t="s">
        <v>11</v>
      </c>
      <c r="B10" s="107" t="s">
        <v>359</v>
      </c>
      <c r="C10" s="108"/>
      <c r="D10" s="90" t="s">
        <v>11</v>
      </c>
      <c r="E10" s="107" t="s">
        <v>359</v>
      </c>
      <c r="F10" s="108"/>
      <c r="G10" s="90" t="s">
        <v>11</v>
      </c>
      <c r="H10" s="107" t="s">
        <v>132</v>
      </c>
      <c r="I10" s="108"/>
      <c r="J10" s="77"/>
      <c r="K10" s="78" t="s">
        <v>377</v>
      </c>
    </row>
    <row r="11" spans="1:11" ht="14.1" customHeight="1">
      <c r="A11" s="90" t="s">
        <v>12</v>
      </c>
      <c r="B11" s="107" t="s">
        <v>363</v>
      </c>
      <c r="C11" s="108"/>
      <c r="D11" s="90" t="s">
        <v>12</v>
      </c>
      <c r="E11" s="107" t="s">
        <v>365</v>
      </c>
      <c r="F11" s="108"/>
      <c r="G11" s="90" t="s">
        <v>12</v>
      </c>
      <c r="H11" s="107" t="s">
        <v>368</v>
      </c>
      <c r="I11" s="108"/>
      <c r="J11" s="77"/>
      <c r="K11" s="78" t="s">
        <v>379</v>
      </c>
    </row>
    <row r="12" spans="1:11" ht="14.1" customHeight="1">
      <c r="A12" s="103" t="s">
        <v>1420</v>
      </c>
      <c r="B12" s="89" t="s">
        <v>1421</v>
      </c>
      <c r="C12" s="79" t="s">
        <v>1422</v>
      </c>
      <c r="D12" s="103" t="s">
        <v>1420</v>
      </c>
      <c r="E12" s="89" t="s">
        <v>1421</v>
      </c>
      <c r="F12" s="79" t="s">
        <v>1422</v>
      </c>
      <c r="G12" s="103" t="s">
        <v>1420</v>
      </c>
      <c r="H12" s="89" t="s">
        <v>1421</v>
      </c>
      <c r="I12" s="79" t="s">
        <v>1422</v>
      </c>
      <c r="J12" s="77"/>
      <c r="K12" s="78" t="s">
        <v>1403</v>
      </c>
    </row>
    <row r="13" spans="1:11" ht="14.1" customHeight="1">
      <c r="A13" s="104"/>
      <c r="B13" s="89" t="s">
        <v>1423</v>
      </c>
      <c r="C13" s="79" t="s">
        <v>1424</v>
      </c>
      <c r="D13" s="104"/>
      <c r="E13" s="89" t="s">
        <v>1423</v>
      </c>
      <c r="F13" s="79" t="s">
        <v>1424</v>
      </c>
      <c r="G13" s="104"/>
      <c r="H13" s="89" t="s">
        <v>1423</v>
      </c>
      <c r="I13" s="79" t="s">
        <v>1424</v>
      </c>
      <c r="J13" s="77"/>
      <c r="K13" s="78" t="s">
        <v>1380</v>
      </c>
    </row>
    <row r="14" spans="1:11" ht="14.1" customHeight="1" thickBot="1">
      <c r="A14" s="100" t="s">
        <v>1425</v>
      </c>
      <c r="B14" s="101"/>
      <c r="C14" s="102"/>
      <c r="D14" s="100" t="s">
        <v>1425</v>
      </c>
      <c r="E14" s="101"/>
      <c r="F14" s="102"/>
      <c r="G14" s="100" t="s">
        <v>1425</v>
      </c>
      <c r="H14" s="101"/>
      <c r="I14" s="102"/>
      <c r="J14" s="80"/>
      <c r="K14" s="78" t="s">
        <v>381</v>
      </c>
    </row>
    <row r="15" spans="1:11" ht="14.1" customHeight="1" thickTop="1">
      <c r="A15" s="76" t="s">
        <v>1</v>
      </c>
      <c r="B15" s="105" t="str">
        <f>K7</f>
        <v>SUW-E0106</v>
      </c>
      <c r="C15" s="106"/>
      <c r="D15" s="76" t="s">
        <v>1</v>
      </c>
      <c r="E15" s="105" t="str">
        <f>K8</f>
        <v>SUW-E0107</v>
      </c>
      <c r="F15" s="106"/>
      <c r="G15" s="76" t="s">
        <v>1</v>
      </c>
      <c r="H15" s="105" t="str">
        <f>K9</f>
        <v>SUW-E0108</v>
      </c>
      <c r="I15" s="106"/>
      <c r="J15" s="77"/>
      <c r="K15" s="78" t="s">
        <v>386</v>
      </c>
    </row>
    <row r="16" spans="1:11" ht="14.1" customHeight="1">
      <c r="A16" s="90" t="s">
        <v>3</v>
      </c>
      <c r="B16" s="107" t="s">
        <v>130</v>
      </c>
      <c r="C16" s="108"/>
      <c r="D16" s="90" t="s">
        <v>3</v>
      </c>
      <c r="E16" s="107" t="s">
        <v>130</v>
      </c>
      <c r="F16" s="108"/>
      <c r="G16" s="90" t="s">
        <v>3</v>
      </c>
      <c r="H16" s="107" t="s">
        <v>1304</v>
      </c>
      <c r="I16" s="108"/>
      <c r="J16" s="77"/>
      <c r="K16" s="78" t="s">
        <v>1382</v>
      </c>
    </row>
    <row r="17" spans="1:11" ht="14.1" customHeight="1">
      <c r="A17" s="90" t="s">
        <v>11</v>
      </c>
      <c r="B17" s="107" t="s">
        <v>132</v>
      </c>
      <c r="C17" s="108"/>
      <c r="D17" s="90" t="s">
        <v>11</v>
      </c>
      <c r="E17" s="107" t="s">
        <v>132</v>
      </c>
      <c r="F17" s="108"/>
      <c r="G17" s="90" t="s">
        <v>11</v>
      </c>
      <c r="H17" s="107" t="s">
        <v>375</v>
      </c>
      <c r="I17" s="108"/>
      <c r="J17" s="77"/>
      <c r="K17" s="78" t="s">
        <v>388</v>
      </c>
    </row>
    <row r="18" spans="1:11" ht="14.1" customHeight="1">
      <c r="A18" s="90" t="s">
        <v>12</v>
      </c>
      <c r="B18" s="107" t="s">
        <v>370</v>
      </c>
      <c r="C18" s="108"/>
      <c r="D18" s="90" t="s">
        <v>12</v>
      </c>
      <c r="E18" s="107" t="s">
        <v>372</v>
      </c>
      <c r="F18" s="108"/>
      <c r="G18" s="90" t="s">
        <v>12</v>
      </c>
      <c r="H18" s="107" t="s">
        <v>376</v>
      </c>
      <c r="I18" s="108"/>
      <c r="J18" s="77"/>
      <c r="K18" s="78" t="s">
        <v>390</v>
      </c>
    </row>
    <row r="19" spans="1:11" ht="14.1" customHeight="1">
      <c r="A19" s="103" t="s">
        <v>1420</v>
      </c>
      <c r="B19" s="89" t="s">
        <v>1421</v>
      </c>
      <c r="C19" s="79" t="s">
        <v>1422</v>
      </c>
      <c r="D19" s="103" t="s">
        <v>1420</v>
      </c>
      <c r="E19" s="89" t="s">
        <v>1421</v>
      </c>
      <c r="F19" s="79" t="s">
        <v>1422</v>
      </c>
      <c r="G19" s="103" t="s">
        <v>1420</v>
      </c>
      <c r="H19" s="89" t="s">
        <v>1421</v>
      </c>
      <c r="I19" s="79" t="s">
        <v>1422</v>
      </c>
      <c r="J19" s="77"/>
      <c r="K19" s="78" t="s">
        <v>394</v>
      </c>
    </row>
    <row r="20" spans="1:11" ht="14.1" customHeight="1">
      <c r="A20" s="104"/>
      <c r="B20" s="89" t="s">
        <v>1423</v>
      </c>
      <c r="C20" s="79" t="s">
        <v>1424</v>
      </c>
      <c r="D20" s="104"/>
      <c r="E20" s="89" t="s">
        <v>1423</v>
      </c>
      <c r="F20" s="79" t="s">
        <v>1424</v>
      </c>
      <c r="G20" s="104"/>
      <c r="H20" s="89" t="s">
        <v>1423</v>
      </c>
      <c r="I20" s="79" t="s">
        <v>1424</v>
      </c>
      <c r="J20" s="77"/>
      <c r="K20" s="78" t="s">
        <v>396</v>
      </c>
    </row>
    <row r="21" spans="1:11" ht="14.1" customHeight="1" thickBot="1">
      <c r="A21" s="100" t="s">
        <v>1425</v>
      </c>
      <c r="B21" s="101"/>
      <c r="C21" s="102"/>
      <c r="D21" s="100" t="s">
        <v>1425</v>
      </c>
      <c r="E21" s="101"/>
      <c r="F21" s="102"/>
      <c r="G21" s="100" t="s">
        <v>1425</v>
      </c>
      <c r="H21" s="101"/>
      <c r="I21" s="102"/>
      <c r="J21" s="80"/>
      <c r="K21" s="78" t="s">
        <v>842</v>
      </c>
    </row>
    <row r="22" spans="1:11" ht="14.1" customHeight="1" thickTop="1">
      <c r="A22" s="76" t="s">
        <v>1</v>
      </c>
      <c r="B22" s="105" t="str">
        <f>K10</f>
        <v>SUW-E0109</v>
      </c>
      <c r="C22" s="106"/>
      <c r="D22" s="76" t="s">
        <v>1</v>
      </c>
      <c r="E22" s="105" t="str">
        <f>K11</f>
        <v>SUW-E0110</v>
      </c>
      <c r="F22" s="106"/>
      <c r="G22" s="76" t="s">
        <v>1</v>
      </c>
      <c r="H22" s="105" t="str">
        <f>K12</f>
        <v>SUW-E0111</v>
      </c>
      <c r="I22" s="106"/>
      <c r="J22" s="77"/>
      <c r="K22" s="78" t="s">
        <v>402</v>
      </c>
    </row>
    <row r="23" spans="1:11" ht="14.1" customHeight="1">
      <c r="A23" s="90" t="s">
        <v>3</v>
      </c>
      <c r="B23" s="107" t="s">
        <v>1304</v>
      </c>
      <c r="C23" s="108"/>
      <c r="D23" s="90" t="s">
        <v>3</v>
      </c>
      <c r="E23" s="107" t="s">
        <v>1304</v>
      </c>
      <c r="F23" s="108"/>
      <c r="G23" s="90" t="s">
        <v>3</v>
      </c>
      <c r="H23" s="107" t="s">
        <v>1404</v>
      </c>
      <c r="I23" s="108"/>
      <c r="J23" s="77"/>
      <c r="K23" s="78" t="s">
        <v>406</v>
      </c>
    </row>
    <row r="24" spans="1:11" ht="14.1" customHeight="1">
      <c r="A24" s="90" t="s">
        <v>11</v>
      </c>
      <c r="B24" s="107" t="s">
        <v>375</v>
      </c>
      <c r="C24" s="108"/>
      <c r="D24" s="90" t="s">
        <v>11</v>
      </c>
      <c r="E24" s="107" t="s">
        <v>380</v>
      </c>
      <c r="F24" s="108"/>
      <c r="G24" s="90" t="s">
        <v>11</v>
      </c>
      <c r="H24" s="107" t="s">
        <v>840</v>
      </c>
      <c r="I24" s="108"/>
      <c r="J24" s="77"/>
      <c r="K24" s="78" t="s">
        <v>408</v>
      </c>
    </row>
    <row r="25" spans="1:11" ht="14.1" customHeight="1">
      <c r="A25" s="90" t="s">
        <v>12</v>
      </c>
      <c r="B25" s="107" t="s">
        <v>378</v>
      </c>
      <c r="C25" s="108"/>
      <c r="D25" s="90" t="s">
        <v>12</v>
      </c>
      <c r="E25" s="107" t="s">
        <v>380</v>
      </c>
      <c r="F25" s="108"/>
      <c r="G25" s="90" t="s">
        <v>12</v>
      </c>
      <c r="H25" s="107" t="s">
        <v>1405</v>
      </c>
      <c r="I25" s="108"/>
      <c r="J25" s="77"/>
      <c r="K25" s="78" t="s">
        <v>931</v>
      </c>
    </row>
    <row r="26" spans="1:11" ht="14.1" customHeight="1">
      <c r="A26" s="103" t="s">
        <v>1420</v>
      </c>
      <c r="B26" s="89" t="s">
        <v>1421</v>
      </c>
      <c r="C26" s="79" t="s">
        <v>1422</v>
      </c>
      <c r="D26" s="103" t="s">
        <v>1420</v>
      </c>
      <c r="E26" s="89" t="s">
        <v>1421</v>
      </c>
      <c r="F26" s="79" t="s">
        <v>1422</v>
      </c>
      <c r="G26" s="103" t="s">
        <v>1420</v>
      </c>
      <c r="H26" s="89" t="s">
        <v>1421</v>
      </c>
      <c r="I26" s="79" t="s">
        <v>1422</v>
      </c>
      <c r="J26" s="77"/>
    </row>
    <row r="27" spans="1:11" ht="14.1" customHeight="1">
      <c r="A27" s="104"/>
      <c r="B27" s="89" t="s">
        <v>1423</v>
      </c>
      <c r="C27" s="79" t="s">
        <v>1424</v>
      </c>
      <c r="D27" s="104"/>
      <c r="E27" s="89" t="s">
        <v>1423</v>
      </c>
      <c r="F27" s="79" t="s">
        <v>1424</v>
      </c>
      <c r="G27" s="104"/>
      <c r="H27" s="89" t="s">
        <v>1423</v>
      </c>
      <c r="I27" s="79" t="s">
        <v>1424</v>
      </c>
      <c r="J27" s="77"/>
    </row>
    <row r="28" spans="1:11" ht="14.1" customHeight="1" thickBot="1">
      <c r="A28" s="100" t="s">
        <v>1425</v>
      </c>
      <c r="B28" s="101"/>
      <c r="C28" s="102"/>
      <c r="D28" s="100" t="s">
        <v>1425</v>
      </c>
      <c r="E28" s="101"/>
      <c r="F28" s="102"/>
      <c r="G28" s="100" t="s">
        <v>1425</v>
      </c>
      <c r="H28" s="101"/>
      <c r="I28" s="102"/>
      <c r="J28" s="80"/>
    </row>
    <row r="29" spans="1:11" ht="14.1" customHeight="1" thickTop="1">
      <c r="A29" s="76" t="s">
        <v>1</v>
      </c>
      <c r="B29" s="105" t="str">
        <f>K13</f>
        <v>SUW-E0112</v>
      </c>
      <c r="C29" s="106"/>
      <c r="D29" s="76" t="s">
        <v>1</v>
      </c>
      <c r="E29" s="105" t="str">
        <f>K14</f>
        <v>SUW-E0113</v>
      </c>
      <c r="F29" s="106"/>
      <c r="G29" s="76" t="s">
        <v>1</v>
      </c>
      <c r="H29" s="105" t="str">
        <f>K15</f>
        <v>SUW-E0114</v>
      </c>
      <c r="I29" s="106"/>
      <c r="J29" s="77"/>
    </row>
    <row r="30" spans="1:11" ht="14.1" customHeight="1">
      <c r="A30" s="90" t="s">
        <v>3</v>
      </c>
      <c r="B30" s="107" t="e">
        <v>#N/A</v>
      </c>
      <c r="C30" s="108"/>
      <c r="D30" s="90" t="s">
        <v>3</v>
      </c>
      <c r="E30" s="107" t="s">
        <v>221</v>
      </c>
      <c r="F30" s="108"/>
      <c r="G30" s="90" t="s">
        <v>3</v>
      </c>
      <c r="H30" s="107" t="s">
        <v>176</v>
      </c>
      <c r="I30" s="108"/>
      <c r="J30" s="77"/>
    </row>
    <row r="31" spans="1:11" ht="14.1" customHeight="1">
      <c r="A31" s="90" t="s">
        <v>11</v>
      </c>
      <c r="B31" s="107" t="e">
        <v>#N/A</v>
      </c>
      <c r="C31" s="108"/>
      <c r="D31" s="90" t="s">
        <v>11</v>
      </c>
      <c r="E31" s="107" t="s">
        <v>222</v>
      </c>
      <c r="F31" s="108"/>
      <c r="G31" s="90" t="s">
        <v>11</v>
      </c>
      <c r="H31" s="107" t="s">
        <v>24</v>
      </c>
      <c r="I31" s="108"/>
      <c r="J31" s="77"/>
    </row>
    <row r="32" spans="1:11" ht="14.1" customHeight="1">
      <c r="A32" s="90" t="s">
        <v>12</v>
      </c>
      <c r="B32" s="107" t="e">
        <v>#N/A</v>
      </c>
      <c r="C32" s="108"/>
      <c r="D32" s="90" t="s">
        <v>12</v>
      </c>
      <c r="E32" s="107" t="s">
        <v>384</v>
      </c>
      <c r="F32" s="108"/>
      <c r="G32" s="90" t="s">
        <v>12</v>
      </c>
      <c r="H32" s="107" t="s">
        <v>1426</v>
      </c>
      <c r="I32" s="108"/>
      <c r="J32" s="77"/>
    </row>
    <row r="33" spans="1:10" ht="14.1" customHeight="1">
      <c r="A33" s="103" t="s">
        <v>1420</v>
      </c>
      <c r="B33" s="89" t="s">
        <v>1421</v>
      </c>
      <c r="C33" s="79" t="s">
        <v>1422</v>
      </c>
      <c r="D33" s="103" t="s">
        <v>1420</v>
      </c>
      <c r="E33" s="89" t="s">
        <v>1421</v>
      </c>
      <c r="F33" s="79" t="s">
        <v>1422</v>
      </c>
      <c r="G33" s="103" t="s">
        <v>1420</v>
      </c>
      <c r="H33" s="89" t="s">
        <v>1421</v>
      </c>
      <c r="I33" s="79" t="s">
        <v>1422</v>
      </c>
      <c r="J33" s="77"/>
    </row>
    <row r="34" spans="1:10" ht="14.1" customHeight="1">
      <c r="A34" s="104"/>
      <c r="B34" s="89" t="s">
        <v>1423</v>
      </c>
      <c r="C34" s="79" t="s">
        <v>1424</v>
      </c>
      <c r="D34" s="104"/>
      <c r="E34" s="89" t="s">
        <v>1423</v>
      </c>
      <c r="F34" s="79" t="s">
        <v>1424</v>
      </c>
      <c r="G34" s="104"/>
      <c r="H34" s="89" t="s">
        <v>1423</v>
      </c>
      <c r="I34" s="79" t="s">
        <v>1424</v>
      </c>
      <c r="J34" s="77"/>
    </row>
    <row r="35" spans="1:10" ht="14.1" customHeight="1" thickBot="1">
      <c r="A35" s="100" t="s">
        <v>1425</v>
      </c>
      <c r="B35" s="101"/>
      <c r="C35" s="102"/>
      <c r="D35" s="100" t="s">
        <v>1425</v>
      </c>
      <c r="E35" s="101"/>
      <c r="F35" s="102"/>
      <c r="G35" s="100" t="s">
        <v>1425</v>
      </c>
      <c r="H35" s="101"/>
      <c r="I35" s="102"/>
      <c r="J35" s="80"/>
    </row>
    <row r="36" spans="1:10" ht="14.1" customHeight="1" thickTop="1">
      <c r="A36" s="76" t="s">
        <v>1</v>
      </c>
      <c r="B36" s="105" t="str">
        <f>K16</f>
        <v>SUW-E0115</v>
      </c>
      <c r="C36" s="106"/>
      <c r="D36" s="76" t="s">
        <v>1</v>
      </c>
      <c r="E36" s="105" t="str">
        <f>K17</f>
        <v>SUW-E0116</v>
      </c>
      <c r="F36" s="106"/>
      <c r="G36" s="76" t="s">
        <v>1</v>
      </c>
      <c r="H36" s="105" t="str">
        <f>K18</f>
        <v>SUW-E0117</v>
      </c>
      <c r="I36" s="106"/>
    </row>
    <row r="37" spans="1:10" ht="14.1" customHeight="1">
      <c r="A37" s="90" t="s">
        <v>3</v>
      </c>
      <c r="B37" s="107" t="e">
        <v>#N/A</v>
      </c>
      <c r="C37" s="108"/>
      <c r="D37" s="90" t="s">
        <v>3</v>
      </c>
      <c r="E37" s="107" t="s">
        <v>1404</v>
      </c>
      <c r="F37" s="108"/>
      <c r="G37" s="90" t="s">
        <v>3</v>
      </c>
      <c r="H37" s="107" t="s">
        <v>84</v>
      </c>
      <c r="I37" s="108"/>
    </row>
    <row r="38" spans="1:10" ht="14.1" customHeight="1">
      <c r="A38" s="90" t="s">
        <v>11</v>
      </c>
      <c r="B38" s="107" t="e">
        <v>#N/A</v>
      </c>
      <c r="C38" s="108"/>
      <c r="D38" s="90" t="s">
        <v>11</v>
      </c>
      <c r="E38" s="107" t="s">
        <v>68</v>
      </c>
      <c r="F38" s="108"/>
      <c r="G38" s="90" t="s">
        <v>11</v>
      </c>
      <c r="H38" s="107" t="s">
        <v>391</v>
      </c>
      <c r="I38" s="108"/>
    </row>
    <row r="39" spans="1:10" ht="14.1" customHeight="1">
      <c r="A39" s="90" t="s">
        <v>12</v>
      </c>
      <c r="B39" s="107" t="e">
        <v>#N/A</v>
      </c>
      <c r="C39" s="108"/>
      <c r="D39" s="90" t="s">
        <v>12</v>
      </c>
      <c r="E39" s="107" t="s">
        <v>1427</v>
      </c>
      <c r="F39" s="108"/>
      <c r="G39" s="90" t="s">
        <v>12</v>
      </c>
      <c r="H39" s="107" t="s">
        <v>392</v>
      </c>
      <c r="I39" s="108"/>
    </row>
    <row r="40" spans="1:10" ht="14.1" customHeight="1">
      <c r="A40" s="103" t="s">
        <v>1420</v>
      </c>
      <c r="B40" s="89" t="s">
        <v>1421</v>
      </c>
      <c r="C40" s="79" t="s">
        <v>1422</v>
      </c>
      <c r="D40" s="103" t="s">
        <v>1420</v>
      </c>
      <c r="E40" s="89" t="s">
        <v>1421</v>
      </c>
      <c r="F40" s="79" t="s">
        <v>1422</v>
      </c>
      <c r="G40" s="103" t="s">
        <v>1420</v>
      </c>
      <c r="H40" s="89" t="s">
        <v>1421</v>
      </c>
      <c r="I40" s="79" t="s">
        <v>1422</v>
      </c>
    </row>
    <row r="41" spans="1:10" ht="14.1" customHeight="1">
      <c r="A41" s="104"/>
      <c r="B41" s="89" t="s">
        <v>1423</v>
      </c>
      <c r="C41" s="79" t="s">
        <v>1424</v>
      </c>
      <c r="D41" s="104"/>
      <c r="E41" s="89" t="s">
        <v>1423</v>
      </c>
      <c r="F41" s="79" t="s">
        <v>1424</v>
      </c>
      <c r="G41" s="104"/>
      <c r="H41" s="89" t="s">
        <v>1423</v>
      </c>
      <c r="I41" s="79" t="s">
        <v>1424</v>
      </c>
    </row>
    <row r="42" spans="1:10" ht="14.1" customHeight="1" thickBot="1">
      <c r="A42" s="100" t="s">
        <v>1425</v>
      </c>
      <c r="B42" s="101"/>
      <c r="C42" s="102"/>
      <c r="D42" s="100" t="s">
        <v>1425</v>
      </c>
      <c r="E42" s="101"/>
      <c r="F42" s="102"/>
      <c r="G42" s="100" t="s">
        <v>1425</v>
      </c>
      <c r="H42" s="101"/>
      <c r="I42" s="102"/>
    </row>
    <row r="43" spans="1:10" ht="14.1" customHeight="1" thickTop="1">
      <c r="A43" s="76" t="s">
        <v>1</v>
      </c>
      <c r="B43" s="105" t="str">
        <f>K19</f>
        <v>SUW-E0118</v>
      </c>
      <c r="C43" s="106"/>
      <c r="D43" s="76" t="s">
        <v>1</v>
      </c>
      <c r="E43" s="105" t="str">
        <f>K20</f>
        <v>SUW-E0119</v>
      </c>
      <c r="F43" s="106"/>
      <c r="G43" s="76" t="s">
        <v>1</v>
      </c>
      <c r="H43" s="105" t="str">
        <f>K25</f>
        <v>SUW-E0308</v>
      </c>
      <c r="I43" s="106"/>
    </row>
    <row r="44" spans="1:10" ht="14.1" customHeight="1">
      <c r="A44" s="90" t="s">
        <v>3</v>
      </c>
      <c r="B44" s="107" t="s">
        <v>84</v>
      </c>
      <c r="C44" s="108"/>
      <c r="D44" s="90" t="s">
        <v>3</v>
      </c>
      <c r="E44" s="107" t="s">
        <v>84</v>
      </c>
      <c r="F44" s="108"/>
      <c r="G44" s="90" t="s">
        <v>3</v>
      </c>
      <c r="H44" s="107" t="s">
        <v>795</v>
      </c>
      <c r="I44" s="108"/>
    </row>
    <row r="45" spans="1:10" ht="14.1" customHeight="1">
      <c r="A45" s="90" t="s">
        <v>11</v>
      </c>
      <c r="B45" s="107" t="s">
        <v>391</v>
      </c>
      <c r="C45" s="108"/>
      <c r="D45" s="90" t="s">
        <v>11</v>
      </c>
      <c r="E45" s="107" t="s">
        <v>397</v>
      </c>
      <c r="F45" s="108"/>
      <c r="G45" s="90" t="s">
        <v>11</v>
      </c>
      <c r="H45" s="107" t="s">
        <v>796</v>
      </c>
      <c r="I45" s="108"/>
    </row>
    <row r="46" spans="1:10" ht="14.1" customHeight="1">
      <c r="A46" s="90" t="s">
        <v>12</v>
      </c>
      <c r="B46" s="107" t="s">
        <v>395</v>
      </c>
      <c r="C46" s="108"/>
      <c r="D46" s="90" t="s">
        <v>12</v>
      </c>
      <c r="E46" s="107" t="s">
        <v>398</v>
      </c>
      <c r="F46" s="108"/>
      <c r="G46" s="90" t="s">
        <v>12</v>
      </c>
      <c r="H46" s="107" t="s">
        <v>932</v>
      </c>
      <c r="I46" s="108"/>
    </row>
    <row r="47" spans="1:10" ht="14.1" customHeight="1">
      <c r="A47" s="103" t="s">
        <v>1420</v>
      </c>
      <c r="B47" s="89" t="s">
        <v>1421</v>
      </c>
      <c r="C47" s="79" t="s">
        <v>1422</v>
      </c>
      <c r="D47" s="103" t="s">
        <v>1420</v>
      </c>
      <c r="E47" s="89" t="s">
        <v>1421</v>
      </c>
      <c r="F47" s="79" t="s">
        <v>1422</v>
      </c>
      <c r="G47" s="103" t="s">
        <v>1420</v>
      </c>
      <c r="H47" s="89" t="s">
        <v>1421</v>
      </c>
      <c r="I47" s="81" t="s">
        <v>1422</v>
      </c>
    </row>
    <row r="48" spans="1:10" ht="14.1" customHeight="1">
      <c r="A48" s="104"/>
      <c r="B48" s="89" t="s">
        <v>1423</v>
      </c>
      <c r="C48" s="79" t="s">
        <v>1424</v>
      </c>
      <c r="D48" s="104"/>
      <c r="E48" s="89" t="s">
        <v>1423</v>
      </c>
      <c r="F48" s="79" t="s">
        <v>1424</v>
      </c>
      <c r="G48" s="104"/>
      <c r="H48" s="89" t="s">
        <v>1423</v>
      </c>
      <c r="I48" s="79" t="s">
        <v>1424</v>
      </c>
    </row>
    <row r="49" spans="1:9" ht="14.1" customHeight="1" thickBot="1">
      <c r="A49" s="100" t="s">
        <v>1425</v>
      </c>
      <c r="B49" s="101"/>
      <c r="C49" s="102"/>
      <c r="D49" s="100" t="s">
        <v>1425</v>
      </c>
      <c r="E49" s="101"/>
      <c r="F49" s="102"/>
      <c r="G49" s="100" t="s">
        <v>1425</v>
      </c>
      <c r="H49" s="101"/>
      <c r="I49" s="102"/>
    </row>
    <row r="50" spans="1:9" ht="15" customHeight="1" thickTop="1">
      <c r="A50" s="76" t="s">
        <v>1</v>
      </c>
      <c r="B50" s="105" t="str">
        <f>K22</f>
        <v>SUW-E0121</v>
      </c>
      <c r="C50" s="106"/>
      <c r="D50" s="76" t="s">
        <v>1</v>
      </c>
      <c r="E50" s="105" t="str">
        <f>K23</f>
        <v>SUW-E0122</v>
      </c>
      <c r="F50" s="106"/>
      <c r="G50" s="76" t="s">
        <v>1</v>
      </c>
      <c r="H50" s="105" t="str">
        <f>K24</f>
        <v>SUW-E0123</v>
      </c>
      <c r="I50" s="106"/>
    </row>
    <row r="51" spans="1:9" ht="15" customHeight="1">
      <c r="A51" s="90" t="s">
        <v>3</v>
      </c>
      <c r="B51" s="107" t="s">
        <v>84</v>
      </c>
      <c r="C51" s="108"/>
      <c r="D51" s="90" t="s">
        <v>3</v>
      </c>
      <c r="E51" s="107" t="s">
        <v>84</v>
      </c>
      <c r="F51" s="108"/>
      <c r="G51" s="90" t="s">
        <v>3</v>
      </c>
      <c r="H51" s="107" t="e">
        <v>#N/A</v>
      </c>
      <c r="I51" s="108"/>
    </row>
    <row r="52" spans="1:9" ht="15" customHeight="1">
      <c r="A52" s="90" t="s">
        <v>11</v>
      </c>
      <c r="B52" s="107" t="s">
        <v>403</v>
      </c>
      <c r="C52" s="108"/>
      <c r="D52" s="90" t="s">
        <v>11</v>
      </c>
      <c r="E52" s="107" t="s">
        <v>403</v>
      </c>
      <c r="F52" s="108"/>
      <c r="G52" s="90" t="s">
        <v>11</v>
      </c>
      <c r="H52" s="107" t="s">
        <v>141</v>
      </c>
      <c r="I52" s="108"/>
    </row>
    <row r="53" spans="1:9" ht="15" customHeight="1">
      <c r="A53" s="90" t="s">
        <v>12</v>
      </c>
      <c r="B53" s="107" t="s">
        <v>404</v>
      </c>
      <c r="C53" s="108"/>
      <c r="D53" s="90" t="s">
        <v>12</v>
      </c>
      <c r="E53" s="107" t="s">
        <v>407</v>
      </c>
      <c r="F53" s="108"/>
      <c r="G53" s="90" t="s">
        <v>12</v>
      </c>
      <c r="H53" s="107" t="s">
        <v>1428</v>
      </c>
      <c r="I53" s="108"/>
    </row>
    <row r="54" spans="1:9" ht="15" customHeight="1">
      <c r="A54" s="103" t="s">
        <v>1420</v>
      </c>
      <c r="B54" s="89" t="s">
        <v>1421</v>
      </c>
      <c r="C54" s="79" t="s">
        <v>1422</v>
      </c>
      <c r="D54" s="103" t="s">
        <v>1420</v>
      </c>
      <c r="E54" s="89" t="s">
        <v>1421</v>
      </c>
      <c r="F54" s="79" t="s">
        <v>1422</v>
      </c>
      <c r="G54" s="103" t="s">
        <v>1420</v>
      </c>
      <c r="H54" s="89" t="s">
        <v>1421</v>
      </c>
      <c r="I54" s="79" t="s">
        <v>1422</v>
      </c>
    </row>
    <row r="55" spans="1:9" ht="15" customHeight="1">
      <c r="A55" s="104"/>
      <c r="B55" s="89" t="s">
        <v>1423</v>
      </c>
      <c r="C55" s="79" t="s">
        <v>1424</v>
      </c>
      <c r="D55" s="104"/>
      <c r="E55" s="89" t="s">
        <v>1423</v>
      </c>
      <c r="F55" s="79" t="s">
        <v>1424</v>
      </c>
      <c r="G55" s="104"/>
      <c r="H55" s="89" t="s">
        <v>1423</v>
      </c>
      <c r="I55" s="79" t="s">
        <v>1424</v>
      </c>
    </row>
    <row r="56" spans="1:9" ht="15" customHeight="1" thickBot="1">
      <c r="A56" s="100" t="s">
        <v>1425</v>
      </c>
      <c r="B56" s="101"/>
      <c r="C56" s="102"/>
      <c r="D56" s="100" t="s">
        <v>1425</v>
      </c>
      <c r="E56" s="101"/>
      <c r="F56" s="102"/>
      <c r="G56" s="100" t="s">
        <v>1425</v>
      </c>
      <c r="H56" s="101"/>
      <c r="I56" s="102"/>
    </row>
    <row r="57" spans="1:9" ht="15" customHeight="1" thickTop="1">
      <c r="A57" s="76" t="s">
        <v>1</v>
      </c>
      <c r="B57" s="105" t="str">
        <f>K25</f>
        <v>SUW-E0308</v>
      </c>
      <c r="C57" s="106"/>
      <c r="D57" s="76" t="s">
        <v>1</v>
      </c>
      <c r="E57" s="105" t="s">
        <v>1429</v>
      </c>
      <c r="F57" s="106"/>
      <c r="G57" s="76" t="s">
        <v>1</v>
      </c>
      <c r="H57" s="105" t="s">
        <v>1430</v>
      </c>
      <c r="I57" s="106"/>
    </row>
    <row r="58" spans="1:9" ht="15" customHeight="1">
      <c r="A58" s="90" t="s">
        <v>3</v>
      </c>
      <c r="B58" s="110" t="s">
        <v>612</v>
      </c>
      <c r="C58" s="108"/>
      <c r="D58" s="90" t="s">
        <v>3</v>
      </c>
      <c r="E58" s="110" t="s">
        <v>879</v>
      </c>
      <c r="F58" s="108"/>
      <c r="G58" s="90" t="s">
        <v>3</v>
      </c>
      <c r="H58" s="110" t="s">
        <v>879</v>
      </c>
      <c r="I58" s="108"/>
    </row>
    <row r="59" spans="1:9" ht="15" customHeight="1">
      <c r="A59" s="90" t="s">
        <v>11</v>
      </c>
      <c r="B59" s="107" t="s">
        <v>614</v>
      </c>
      <c r="C59" s="108"/>
      <c r="D59" s="90" t="s">
        <v>11</v>
      </c>
      <c r="E59" s="107" t="s">
        <v>880</v>
      </c>
      <c r="F59" s="108"/>
      <c r="G59" s="90" t="s">
        <v>11</v>
      </c>
      <c r="H59" s="107" t="s">
        <v>880</v>
      </c>
      <c r="I59" s="108"/>
    </row>
    <row r="60" spans="1:9" ht="15" customHeight="1">
      <c r="A60" s="90" t="s">
        <v>12</v>
      </c>
      <c r="B60" s="109" t="s">
        <v>877</v>
      </c>
      <c r="C60" s="108"/>
      <c r="D60" s="90" t="s">
        <v>12</v>
      </c>
      <c r="E60" s="109" t="s">
        <v>881</v>
      </c>
      <c r="F60" s="108"/>
      <c r="G60" s="90" t="s">
        <v>12</v>
      </c>
      <c r="H60" s="109" t="s">
        <v>883</v>
      </c>
      <c r="I60" s="108"/>
    </row>
    <row r="61" spans="1:9" ht="15" customHeight="1">
      <c r="A61" s="103" t="s">
        <v>1420</v>
      </c>
      <c r="B61" s="89" t="s">
        <v>1421</v>
      </c>
      <c r="C61" s="79" t="s">
        <v>1422</v>
      </c>
      <c r="D61" s="103" t="s">
        <v>1420</v>
      </c>
      <c r="E61" s="89" t="s">
        <v>1421</v>
      </c>
      <c r="F61" s="79" t="s">
        <v>1422</v>
      </c>
      <c r="G61" s="103" t="s">
        <v>1420</v>
      </c>
      <c r="H61" s="89" t="s">
        <v>1421</v>
      </c>
      <c r="I61" s="79" t="s">
        <v>1422</v>
      </c>
    </row>
    <row r="62" spans="1:9" ht="15" customHeight="1">
      <c r="A62" s="104"/>
      <c r="B62" s="89" t="s">
        <v>1423</v>
      </c>
      <c r="C62" s="79" t="s">
        <v>1424</v>
      </c>
      <c r="D62" s="104"/>
      <c r="E62" s="89" t="s">
        <v>1423</v>
      </c>
      <c r="F62" s="79" t="s">
        <v>1424</v>
      </c>
      <c r="G62" s="104"/>
      <c r="H62" s="89" t="s">
        <v>1423</v>
      </c>
      <c r="I62" s="79" t="s">
        <v>1424</v>
      </c>
    </row>
    <row r="63" spans="1:9" ht="15" customHeight="1" thickBot="1">
      <c r="A63" s="100" t="s">
        <v>1425</v>
      </c>
      <c r="B63" s="101"/>
      <c r="C63" s="102"/>
      <c r="D63" s="100" t="s">
        <v>1425</v>
      </c>
      <c r="E63" s="101"/>
      <c r="F63" s="102"/>
      <c r="G63" s="100" t="s">
        <v>1425</v>
      </c>
      <c r="H63" s="101"/>
      <c r="I63" s="102"/>
    </row>
    <row r="64" spans="1:9" ht="15" customHeight="1" thickTop="1" thickBot="1"/>
    <row r="65" spans="4:9" ht="15" customHeight="1" thickTop="1">
      <c r="D65" s="76" t="s">
        <v>1</v>
      </c>
      <c r="E65" s="105" t="s">
        <v>1431</v>
      </c>
      <c r="F65" s="106"/>
      <c r="G65" s="76" t="s">
        <v>1</v>
      </c>
      <c r="H65" s="105" t="s">
        <v>1432</v>
      </c>
      <c r="I65" s="106"/>
    </row>
    <row r="66" spans="4:9" ht="15" customHeight="1">
      <c r="D66" s="90" t="s">
        <v>3</v>
      </c>
      <c r="E66" s="110" t="s">
        <v>226</v>
      </c>
      <c r="F66" s="108"/>
      <c r="G66" s="90" t="s">
        <v>3</v>
      </c>
      <c r="H66" s="110" t="s">
        <v>226</v>
      </c>
      <c r="I66" s="108"/>
    </row>
    <row r="67" spans="4:9" ht="15" customHeight="1">
      <c r="D67" s="90" t="s">
        <v>11</v>
      </c>
      <c r="E67" s="107" t="s">
        <v>886</v>
      </c>
      <c r="F67" s="108"/>
      <c r="G67" s="90" t="s">
        <v>11</v>
      </c>
      <c r="H67" s="107" t="s">
        <v>886</v>
      </c>
      <c r="I67" s="108"/>
    </row>
    <row r="68" spans="4:9" ht="15" customHeight="1">
      <c r="D68" s="90" t="s">
        <v>12</v>
      </c>
      <c r="E68" s="109" t="s">
        <v>887</v>
      </c>
      <c r="F68" s="108"/>
      <c r="G68" s="90" t="s">
        <v>12</v>
      </c>
      <c r="H68" s="109" t="s">
        <v>890</v>
      </c>
      <c r="I68" s="108"/>
    </row>
    <row r="69" spans="4:9" ht="15" customHeight="1">
      <c r="D69" s="103" t="s">
        <v>1420</v>
      </c>
      <c r="E69" s="89" t="s">
        <v>1421</v>
      </c>
      <c r="F69" s="79" t="s">
        <v>1422</v>
      </c>
      <c r="G69" s="103" t="s">
        <v>1420</v>
      </c>
      <c r="H69" s="89" t="s">
        <v>1421</v>
      </c>
      <c r="I69" s="79" t="s">
        <v>1422</v>
      </c>
    </row>
    <row r="70" spans="4:9" ht="15" customHeight="1">
      <c r="D70" s="104"/>
      <c r="E70" s="89" t="s">
        <v>1423</v>
      </c>
      <c r="F70" s="79" t="s">
        <v>1424</v>
      </c>
      <c r="G70" s="104"/>
      <c r="H70" s="89" t="s">
        <v>1423</v>
      </c>
      <c r="I70" s="79" t="s">
        <v>1424</v>
      </c>
    </row>
    <row r="71" spans="4:9" ht="15" customHeight="1" thickBot="1">
      <c r="D71" s="100" t="s">
        <v>1425</v>
      </c>
      <c r="E71" s="101"/>
      <c r="F71" s="102"/>
      <c r="G71" s="100" t="s">
        <v>1425</v>
      </c>
      <c r="H71" s="101"/>
      <c r="I71" s="102"/>
    </row>
    <row r="72" spans="4:9" ht="15" customHeight="1" thickTop="1" thickBot="1"/>
    <row r="73" spans="4:9" ht="15" customHeight="1" thickTop="1">
      <c r="G73" s="76" t="s">
        <v>1</v>
      </c>
      <c r="H73" s="105" t="s">
        <v>927</v>
      </c>
      <c r="I73" s="106"/>
    </row>
    <row r="74" spans="4:9" ht="15" customHeight="1">
      <c r="G74" s="90" t="s">
        <v>3</v>
      </c>
      <c r="H74" s="107" t="s">
        <v>66</v>
      </c>
      <c r="I74" s="108"/>
    </row>
    <row r="75" spans="4:9" ht="15" customHeight="1">
      <c r="G75" s="90" t="s">
        <v>11</v>
      </c>
      <c r="H75" s="111" t="s">
        <v>1433</v>
      </c>
      <c r="I75" s="108"/>
    </row>
    <row r="76" spans="4:9" ht="15" customHeight="1">
      <c r="G76" s="90" t="s">
        <v>12</v>
      </c>
      <c r="H76" s="107">
        <v>28451</v>
      </c>
      <c r="I76" s="108"/>
    </row>
    <row r="77" spans="4:9" ht="15" customHeight="1">
      <c r="G77" s="103" t="s">
        <v>1420</v>
      </c>
      <c r="H77" s="89" t="s">
        <v>1421</v>
      </c>
      <c r="I77" s="79" t="s">
        <v>1422</v>
      </c>
    </row>
    <row r="78" spans="4:9" ht="15" customHeight="1">
      <c r="G78" s="104"/>
      <c r="H78" s="89" t="s">
        <v>1423</v>
      </c>
      <c r="I78" s="79" t="s">
        <v>1424</v>
      </c>
    </row>
    <row r="79" spans="4:9" ht="15" customHeight="1" thickBot="1">
      <c r="G79" s="100" t="s">
        <v>1425</v>
      </c>
      <c r="H79" s="101"/>
      <c r="I79" s="102"/>
    </row>
    <row r="80" spans="4:9" ht="15" customHeight="1" thickTop="1"/>
  </sheetData>
  <mergeCells count="180">
    <mergeCell ref="E2:F2"/>
    <mergeCell ref="H32:I32"/>
    <mergeCell ref="B10:C10"/>
    <mergeCell ref="E11:F11"/>
    <mergeCell ref="H4:I4"/>
    <mergeCell ref="D33:D34"/>
    <mergeCell ref="E30:F30"/>
    <mergeCell ref="H75:I75"/>
    <mergeCell ref="G56:I56"/>
    <mergeCell ref="H74:I74"/>
    <mergeCell ref="H25:I25"/>
    <mergeCell ref="B2:C2"/>
    <mergeCell ref="E38:F38"/>
    <mergeCell ref="G14:I14"/>
    <mergeCell ref="B11:C11"/>
    <mergeCell ref="A14:C14"/>
    <mergeCell ref="A5:A6"/>
    <mergeCell ref="D5:D6"/>
    <mergeCell ref="B23:C23"/>
    <mergeCell ref="H51:I51"/>
    <mergeCell ref="G35:I35"/>
    <mergeCell ref="D56:F56"/>
    <mergeCell ref="A35:C35"/>
    <mergeCell ref="E9:F9"/>
    <mergeCell ref="H76:I76"/>
    <mergeCell ref="D69:D70"/>
    <mergeCell ref="B36:C36"/>
    <mergeCell ref="E37:F37"/>
    <mergeCell ref="B50:C50"/>
    <mergeCell ref="H8:I8"/>
    <mergeCell ref="G40:G41"/>
    <mergeCell ref="D49:F49"/>
    <mergeCell ref="A12:A13"/>
    <mergeCell ref="A47:A48"/>
    <mergeCell ref="E45:F45"/>
    <mergeCell ref="G54:G55"/>
    <mergeCell ref="D63:F63"/>
    <mergeCell ref="D19:D20"/>
    <mergeCell ref="G47:G48"/>
    <mergeCell ref="H24:I24"/>
    <mergeCell ref="H18:I18"/>
    <mergeCell ref="H44:I44"/>
    <mergeCell ref="E17:F17"/>
    <mergeCell ref="G19:G20"/>
    <mergeCell ref="B39:C39"/>
    <mergeCell ref="H59:I59"/>
    <mergeCell ref="E10:F10"/>
    <mergeCell ref="H46:I46"/>
    <mergeCell ref="B8:C8"/>
    <mergeCell ref="H68:I68"/>
    <mergeCell ref="E4:F4"/>
    <mergeCell ref="G77:G78"/>
    <mergeCell ref="D21:F21"/>
    <mergeCell ref="A7:C7"/>
    <mergeCell ref="E18:F18"/>
    <mergeCell ref="E58:F58"/>
    <mergeCell ref="E50:F50"/>
    <mergeCell ref="G61:G62"/>
    <mergeCell ref="H38:I38"/>
    <mergeCell ref="E68:F68"/>
    <mergeCell ref="H43:I43"/>
    <mergeCell ref="E52:F52"/>
    <mergeCell ref="H31:I31"/>
    <mergeCell ref="D7:F7"/>
    <mergeCell ref="H58:I58"/>
    <mergeCell ref="G69:G70"/>
    <mergeCell ref="E39:F39"/>
    <mergeCell ref="B43:C43"/>
    <mergeCell ref="E44:F44"/>
    <mergeCell ref="B58:C58"/>
    <mergeCell ref="A42:C42"/>
    <mergeCell ref="B52:C52"/>
    <mergeCell ref="H73:I73"/>
    <mergeCell ref="H2:I2"/>
    <mergeCell ref="D35:F35"/>
    <mergeCell ref="G49:I49"/>
    <mergeCell ref="A19:A20"/>
    <mergeCell ref="G26:G27"/>
    <mergeCell ref="H3:I3"/>
    <mergeCell ref="G71:I71"/>
    <mergeCell ref="B15:C15"/>
    <mergeCell ref="E16:F16"/>
    <mergeCell ref="E25:F25"/>
    <mergeCell ref="D26:D27"/>
    <mergeCell ref="E66:F66"/>
    <mergeCell ref="D71:F71"/>
    <mergeCell ref="H60:I60"/>
    <mergeCell ref="B60:C60"/>
    <mergeCell ref="B17:C17"/>
    <mergeCell ref="B57:C57"/>
    <mergeCell ref="E31:F31"/>
    <mergeCell ref="D42:F42"/>
    <mergeCell ref="A28:C28"/>
    <mergeCell ref="E59:F59"/>
    <mergeCell ref="B44:C44"/>
    <mergeCell ref="E15:F15"/>
    <mergeCell ref="H16:I16"/>
    <mergeCell ref="A61:A62"/>
    <mergeCell ref="G28:I28"/>
    <mergeCell ref="B25:C25"/>
    <mergeCell ref="B3:C3"/>
    <mergeCell ref="H9:I9"/>
    <mergeCell ref="E8:F8"/>
    <mergeCell ref="H39:I39"/>
    <mergeCell ref="E51:F51"/>
    <mergeCell ref="D28:F28"/>
    <mergeCell ref="E22:F22"/>
    <mergeCell ref="H23:I23"/>
    <mergeCell ref="B32:C32"/>
    <mergeCell ref="E53:F53"/>
    <mergeCell ref="B59:C59"/>
    <mergeCell ref="B46:C46"/>
    <mergeCell ref="A56:C56"/>
    <mergeCell ref="A26:A27"/>
    <mergeCell ref="D12:D13"/>
    <mergeCell ref="H36:I36"/>
    <mergeCell ref="B53:C53"/>
    <mergeCell ref="H17:I17"/>
    <mergeCell ref="H11:I11"/>
    <mergeCell ref="B29:C29"/>
    <mergeCell ref="G7:I7"/>
    <mergeCell ref="B4:C4"/>
    <mergeCell ref="H30:I30"/>
    <mergeCell ref="E43:F43"/>
    <mergeCell ref="H67:I67"/>
    <mergeCell ref="E24:F24"/>
    <mergeCell ref="H29:I29"/>
    <mergeCell ref="E1:F1"/>
    <mergeCell ref="H10:I10"/>
    <mergeCell ref="B22:C22"/>
    <mergeCell ref="E23:F23"/>
    <mergeCell ref="D61:D62"/>
    <mergeCell ref="A21:C21"/>
    <mergeCell ref="E60:F60"/>
    <mergeCell ref="B37:C37"/>
    <mergeCell ref="B31:C31"/>
    <mergeCell ref="H57:I57"/>
    <mergeCell ref="H22:I22"/>
    <mergeCell ref="B9:C9"/>
    <mergeCell ref="H66:I66"/>
    <mergeCell ref="G21:I21"/>
    <mergeCell ref="E3:F3"/>
    <mergeCell ref="D40:D41"/>
    <mergeCell ref="B16:C16"/>
    <mergeCell ref="E67:F67"/>
    <mergeCell ref="A54:A55"/>
    <mergeCell ref="H50:I50"/>
    <mergeCell ref="B18:C18"/>
    <mergeCell ref="E57:F57"/>
    <mergeCell ref="B30:C30"/>
    <mergeCell ref="E32:F32"/>
    <mergeCell ref="B45:C45"/>
    <mergeCell ref="A40:A41"/>
    <mergeCell ref="E46:F46"/>
    <mergeCell ref="E29:F29"/>
    <mergeCell ref="H53:I53"/>
    <mergeCell ref="G79:I79"/>
    <mergeCell ref="D47:D48"/>
    <mergeCell ref="B1:C1"/>
    <mergeCell ref="H52:I52"/>
    <mergeCell ref="E65:F65"/>
    <mergeCell ref="G63:I63"/>
    <mergeCell ref="G5:G6"/>
    <mergeCell ref="B38:C38"/>
    <mergeCell ref="D14:F14"/>
    <mergeCell ref="A63:C63"/>
    <mergeCell ref="G33:G34"/>
    <mergeCell ref="H45:I45"/>
    <mergeCell ref="A33:A34"/>
    <mergeCell ref="E36:F36"/>
    <mergeCell ref="H37:I37"/>
    <mergeCell ref="H65:I65"/>
    <mergeCell ref="D54:D55"/>
    <mergeCell ref="B24:C24"/>
    <mergeCell ref="A49:C49"/>
    <mergeCell ref="G42:I42"/>
    <mergeCell ref="B51:C51"/>
    <mergeCell ref="G12:G13"/>
    <mergeCell ref="H15:I15"/>
    <mergeCell ref="H1:I1"/>
  </mergeCells>
  <phoneticPr fontId="6" type="noConversion"/>
  <pageMargins left="0.7" right="0.7" top="0.75" bottom="0.75" header="0.3" footer="0.3"/>
  <pageSetup paperSize="9" fitToHeight="0" orientation="portrait" horizontalDpi="4294967295" verticalDpi="4294967295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시험설비 관리대장</vt:lpstr>
      <vt:lpstr>사용전 교정 장비(교정X)</vt:lpstr>
      <vt:lpstr>비관리 장비(교정X)</vt:lpstr>
      <vt:lpstr>이관 장비</vt:lpstr>
      <vt:lpstr>불용장비</vt:lpstr>
      <vt:lpstr>차기 교정확인사항</vt:lpstr>
      <vt:lpstr>Label</vt:lpstr>
      <vt:lpstr>Label!Print_Area</vt:lpstr>
      <vt:lpstr>'시험설비 관리대장'!Print_Area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Steven</dc:creator>
  <cp:lastModifiedBy>Kwon, Myeongjun</cp:lastModifiedBy>
  <cp:lastPrinted>2022-08-24T00:01:55Z</cp:lastPrinted>
  <dcterms:created xsi:type="dcterms:W3CDTF">2015-12-09T22:18:14Z</dcterms:created>
  <dcterms:modified xsi:type="dcterms:W3CDTF">2025-03-20T06:28:36Z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0x01010001D5C03EC5764044A69D6B2BF31CE039</vt:lpwstr>
  </property>
</Properties>
</file>