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DDE0FA5-3029-4B1F-A96D-1E8FD2AD304C}" xr6:coauthVersionLast="47" xr6:coauthVersionMax="47" xr10:uidLastSave="{00000000-0000-0000-0000-000000000000}"/>
  <bookViews>
    <workbookView xWindow="38280" yWindow="7530" windowWidth="29040" windowHeight="15720" xr2:uid="{00000000-000D-0000-FFFF-FFFF00000000}"/>
  </bookViews>
  <sheets>
    <sheet name="시험설비 관리대장" sheetId="10" r:id="rId1"/>
    <sheet name="SAR list" sheetId="5" state="hidden" r:id="rId2"/>
  </sheets>
  <definedNames>
    <definedName name="_xlnm._FilterDatabase" localSheetId="1">'SAR list'!$B$1:$L$52</definedName>
    <definedName name="_xlnm._FilterDatabase" localSheetId="0" hidden="1">'시험설비 관리대장'!$A$2:$Q$228</definedName>
    <definedName name="_xlnm.Print_Area" localSheetId="0">'시험설비 관리대장'!$A$1:$Q$228</definedName>
    <definedName name="_xlnm.Print_Titles" localSheetId="0">'시험설비 관리대장'!$1:$2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0" i="10" l="1" a="1"/>
  <c r="I210" i="10" s="1"/>
  <c r="I209" i="10" a="1"/>
  <c r="I209" i="10" s="1"/>
  <c r="I208" i="10" a="1"/>
  <c r="I208" i="10" s="1"/>
  <c r="I207" i="10" a="1"/>
  <c r="I207" i="10" s="1"/>
  <c r="I206" i="10" a="1"/>
  <c r="I206" i="10" s="1"/>
  <c r="I228" i="10" a="1"/>
  <c r="I228" i="10" s="1"/>
  <c r="I227" i="10" a="1"/>
  <c r="I227" i="10" s="1"/>
  <c r="I226" i="10" a="1"/>
  <c r="I226" i="10" s="1"/>
  <c r="I225" i="10" a="1"/>
  <c r="I225" i="10" s="1"/>
  <c r="I224" i="10" a="1"/>
  <c r="I224" i="10" s="1"/>
  <c r="I223" i="10" a="1"/>
  <c r="I223" i="10" s="1"/>
  <c r="I12" i="10" l="1" a="1"/>
  <c r="I12" i="10" s="1"/>
  <c r="I4" i="10" a="1"/>
  <c r="I4" i="10" s="1"/>
  <c r="I5" i="10" a="1"/>
  <c r="I5" i="10" s="1"/>
  <c r="I6" i="10" a="1"/>
  <c r="I6" i="10" s="1"/>
  <c r="I7" i="10" a="1"/>
  <c r="I7" i="10" s="1"/>
  <c r="I8" i="10" a="1"/>
  <c r="I8" i="10" s="1"/>
  <c r="I9" i="10" a="1"/>
  <c r="I9" i="10" s="1"/>
  <c r="I10" i="10" a="1"/>
  <c r="I10" i="10" s="1"/>
  <c r="I11" i="10" a="1"/>
  <c r="I11" i="10" s="1"/>
  <c r="I13" i="10" a="1"/>
  <c r="I13" i="10" s="1"/>
  <c r="I14" i="10" a="1"/>
  <c r="I14" i="10" s="1"/>
  <c r="I15" i="10" a="1"/>
  <c r="I15" i="10" s="1"/>
  <c r="I16" i="10" a="1"/>
  <c r="I16" i="10" s="1"/>
  <c r="I17" i="10" a="1"/>
  <c r="I17" i="10" s="1"/>
  <c r="I18" i="10" a="1"/>
  <c r="I18" i="10" s="1"/>
  <c r="I19" i="10" a="1"/>
  <c r="I19" i="10" s="1"/>
  <c r="I20" i="10" a="1"/>
  <c r="I20" i="10" s="1"/>
  <c r="I21" i="10" a="1"/>
  <c r="I21" i="10" s="1"/>
  <c r="I22" i="10" a="1"/>
  <c r="I22" i="10" s="1"/>
  <c r="I23" i="10" a="1"/>
  <c r="I23" i="10" s="1"/>
  <c r="I24" i="10" a="1"/>
  <c r="I24" i="10" s="1"/>
  <c r="I25" i="10" a="1"/>
  <c r="I25" i="10" s="1"/>
  <c r="I26" i="10" a="1"/>
  <c r="I26" i="10" s="1"/>
  <c r="I27" i="10" a="1"/>
  <c r="I27" i="10" s="1"/>
  <c r="I28" i="10" a="1"/>
  <c r="I28" i="10" s="1"/>
  <c r="I29" i="10" a="1"/>
  <c r="I29" i="10" s="1"/>
  <c r="I30" i="10" a="1"/>
  <c r="I30" i="10" s="1"/>
  <c r="I31" i="10" a="1"/>
  <c r="I31" i="10" s="1"/>
  <c r="I32" i="10" a="1"/>
  <c r="I32" i="10" s="1"/>
  <c r="I33" i="10" a="1"/>
  <c r="I33" i="10" s="1"/>
  <c r="I34" i="10" a="1"/>
  <c r="I34" i="10" s="1"/>
  <c r="I35" i="10" a="1"/>
  <c r="I35" i="10" s="1"/>
  <c r="I36" i="10" a="1"/>
  <c r="I36" i="10" s="1"/>
  <c r="I37" i="10" a="1"/>
  <c r="I37" i="10" s="1"/>
  <c r="I38" i="10" a="1"/>
  <c r="I38" i="10" s="1"/>
  <c r="I39" i="10" a="1"/>
  <c r="I39" i="10" s="1"/>
  <c r="I40" i="10" a="1"/>
  <c r="I40" i="10" s="1"/>
  <c r="I41" i="10" a="1"/>
  <c r="I41" i="10" s="1"/>
  <c r="I42" i="10" a="1"/>
  <c r="I42" i="10" s="1"/>
  <c r="I43" i="10" a="1"/>
  <c r="I43" i="10" s="1"/>
  <c r="I44" i="10" a="1"/>
  <c r="I44" i="10" s="1"/>
  <c r="I45" i="10" a="1"/>
  <c r="I45" i="10" s="1"/>
  <c r="I46" i="10" a="1"/>
  <c r="I46" i="10" s="1"/>
  <c r="I47" i="10" a="1"/>
  <c r="I47" i="10" s="1"/>
  <c r="I48" i="10" a="1"/>
  <c r="I48" i="10" s="1"/>
  <c r="I49" i="10" a="1"/>
  <c r="I49" i="10" s="1"/>
  <c r="I50" i="10" a="1"/>
  <c r="I50" i="10" s="1"/>
  <c r="I51" i="10" a="1"/>
  <c r="I51" i="10" s="1"/>
  <c r="I52" i="10" a="1"/>
  <c r="I52" i="10" s="1"/>
  <c r="I53" i="10" a="1"/>
  <c r="I53" i="10" s="1"/>
  <c r="I54" i="10" a="1"/>
  <c r="I54" i="10" s="1"/>
  <c r="I55" i="10" a="1"/>
  <c r="I55" i="10" s="1"/>
  <c r="I56" i="10" a="1"/>
  <c r="I56" i="10" s="1"/>
  <c r="I57" i="10" a="1"/>
  <c r="I57" i="10" s="1"/>
  <c r="I58" i="10" a="1"/>
  <c r="I58" i="10" s="1"/>
  <c r="I59" i="10" a="1"/>
  <c r="I59" i="10" s="1"/>
  <c r="I60" i="10" a="1"/>
  <c r="I60" i="10" s="1"/>
  <c r="I61" i="10" a="1"/>
  <c r="I61" i="10" s="1"/>
  <c r="I62" i="10" a="1"/>
  <c r="I62" i="10" s="1"/>
  <c r="I63" i="10" a="1"/>
  <c r="I63" i="10" s="1"/>
  <c r="I64" i="10" a="1"/>
  <c r="I64" i="10" s="1"/>
  <c r="I65" i="10" a="1"/>
  <c r="I65" i="10" s="1"/>
  <c r="I66" i="10" a="1"/>
  <c r="I66" i="10" s="1"/>
  <c r="I67" i="10" a="1"/>
  <c r="I67" i="10" s="1"/>
  <c r="I68" i="10" a="1"/>
  <c r="I68" i="10" s="1"/>
  <c r="I69" i="10" a="1"/>
  <c r="I69" i="10" s="1"/>
  <c r="I70" i="10" a="1"/>
  <c r="I70" i="10" s="1"/>
  <c r="I71" i="10" a="1"/>
  <c r="I71" i="10" s="1"/>
  <c r="I72" i="10" a="1"/>
  <c r="I72" i="10" s="1"/>
  <c r="I73" i="10" a="1"/>
  <c r="I73" i="10" s="1"/>
  <c r="I74" i="10" a="1"/>
  <c r="I74" i="10" s="1"/>
  <c r="I75" i="10" a="1"/>
  <c r="I75" i="10" s="1"/>
  <c r="I76" i="10" a="1"/>
  <c r="I76" i="10" s="1"/>
  <c r="I77" i="10" a="1"/>
  <c r="I77" i="10" s="1"/>
  <c r="I78" i="10" a="1"/>
  <c r="I78" i="10" s="1"/>
  <c r="I79" i="10" a="1"/>
  <c r="I79" i="10" s="1"/>
  <c r="I80" i="10" a="1"/>
  <c r="I80" i="10" s="1"/>
  <c r="I81" i="10" a="1"/>
  <c r="I81" i="10" s="1"/>
  <c r="I82" i="10" a="1"/>
  <c r="I82" i="10" s="1"/>
  <c r="I83" i="10" a="1"/>
  <c r="I83" i="10" s="1"/>
  <c r="I84" i="10" a="1"/>
  <c r="I84" i="10" s="1"/>
  <c r="I85" i="10" a="1"/>
  <c r="I85" i="10" s="1"/>
  <c r="I86" i="10" a="1"/>
  <c r="I86" i="10" s="1"/>
  <c r="I87" i="10" a="1"/>
  <c r="I87" i="10" s="1"/>
  <c r="I88" i="10" a="1"/>
  <c r="I88" i="10" s="1"/>
  <c r="I89" i="10" a="1"/>
  <c r="I89" i="10" s="1"/>
  <c r="I90" i="10" a="1"/>
  <c r="I90" i="10" s="1"/>
  <c r="I91" i="10" a="1"/>
  <c r="I91" i="10" s="1"/>
  <c r="I92" i="10" a="1"/>
  <c r="I92" i="10" s="1"/>
  <c r="I93" i="10" a="1"/>
  <c r="I93" i="10" s="1"/>
  <c r="I94" i="10" a="1"/>
  <c r="I94" i="10" s="1"/>
  <c r="I95" i="10" a="1"/>
  <c r="I95" i="10" s="1"/>
  <c r="I96" i="10" a="1"/>
  <c r="I96" i="10" s="1"/>
  <c r="I97" i="10" a="1"/>
  <c r="I97" i="10" s="1"/>
  <c r="I98" i="10" a="1"/>
  <c r="I98" i="10" s="1"/>
  <c r="I99" i="10" a="1"/>
  <c r="I99" i="10" s="1"/>
  <c r="I100" i="10" a="1"/>
  <c r="I100" i="10" s="1"/>
  <c r="I101" i="10" a="1"/>
  <c r="I101" i="10" s="1"/>
  <c r="I102" i="10" a="1"/>
  <c r="I102" i="10" s="1"/>
  <c r="I103" i="10" a="1"/>
  <c r="I103" i="10" s="1"/>
  <c r="I104" i="10" a="1"/>
  <c r="I104" i="10" s="1"/>
  <c r="I105" i="10" a="1"/>
  <c r="I105" i="10" s="1"/>
  <c r="I106" i="10" a="1"/>
  <c r="I106" i="10" s="1"/>
  <c r="I107" i="10" a="1"/>
  <c r="I107" i="10" s="1"/>
  <c r="I108" i="10" a="1"/>
  <c r="I108" i="10" s="1"/>
  <c r="I109" i="10" a="1"/>
  <c r="I109" i="10" s="1"/>
  <c r="I110" i="10" a="1"/>
  <c r="I110" i="10" s="1"/>
  <c r="I111" i="10" a="1"/>
  <c r="I111" i="10" s="1"/>
  <c r="I112" i="10" a="1"/>
  <c r="I112" i="10" s="1"/>
  <c r="I113" i="10" a="1"/>
  <c r="I113" i="10" s="1"/>
  <c r="I114" i="10" a="1"/>
  <c r="I114" i="10" s="1"/>
  <c r="I115" i="10" a="1"/>
  <c r="I115" i="10" s="1"/>
  <c r="I116" i="10" a="1"/>
  <c r="I116" i="10" s="1"/>
  <c r="I117" i="10" a="1"/>
  <c r="I117" i="10" s="1"/>
  <c r="I118" i="10" a="1"/>
  <c r="I118" i="10" s="1"/>
  <c r="I119" i="10" a="1"/>
  <c r="I119" i="10" s="1"/>
  <c r="I120" i="10" a="1"/>
  <c r="I120" i="10" s="1"/>
  <c r="I121" i="10" a="1"/>
  <c r="I121" i="10" s="1"/>
  <c r="I122" i="10" a="1"/>
  <c r="I122" i="10" s="1"/>
  <c r="I123" i="10" a="1"/>
  <c r="I123" i="10" s="1"/>
  <c r="I124" i="10" a="1"/>
  <c r="I124" i="10" s="1"/>
  <c r="I125" i="10" a="1"/>
  <c r="I125" i="10" s="1"/>
  <c r="I126" i="10" a="1"/>
  <c r="I126" i="10" s="1"/>
  <c r="I127" i="10" a="1"/>
  <c r="I127" i="10" s="1"/>
  <c r="I128" i="10" a="1"/>
  <c r="I128" i="10" s="1"/>
  <c r="I129" i="10" a="1"/>
  <c r="I129" i="10" s="1"/>
  <c r="I130" i="10" a="1"/>
  <c r="I130" i="10" s="1"/>
  <c r="I131" i="10" a="1"/>
  <c r="I131" i="10" s="1"/>
  <c r="I132" i="10" a="1"/>
  <c r="I132" i="10" s="1"/>
  <c r="I133" i="10" a="1"/>
  <c r="I133" i="10" s="1"/>
  <c r="I134" i="10" a="1"/>
  <c r="I134" i="10" s="1"/>
  <c r="I135" i="10" a="1"/>
  <c r="I135" i="10" s="1"/>
  <c r="I136" i="10" a="1"/>
  <c r="I136" i="10" s="1"/>
  <c r="I137" i="10" a="1"/>
  <c r="I137" i="10" s="1"/>
  <c r="I138" i="10" a="1"/>
  <c r="I138" i="10" s="1"/>
  <c r="I139" i="10" a="1"/>
  <c r="I139" i="10" s="1"/>
  <c r="I140" i="10" a="1"/>
  <c r="I140" i="10" s="1"/>
  <c r="I141" i="10" a="1"/>
  <c r="I141" i="10" s="1"/>
  <c r="I142" i="10" a="1"/>
  <c r="I142" i="10" s="1"/>
  <c r="I143" i="10" a="1"/>
  <c r="I143" i="10" s="1"/>
  <c r="I144" i="10" a="1"/>
  <c r="I144" i="10" s="1"/>
  <c r="I145" i="10" a="1"/>
  <c r="I145" i="10" s="1"/>
  <c r="I146" i="10" a="1"/>
  <c r="I146" i="10" s="1"/>
  <c r="I147" i="10" a="1"/>
  <c r="I147" i="10" s="1"/>
  <c r="I148" i="10" a="1"/>
  <c r="I148" i="10" s="1"/>
  <c r="I149" i="10" a="1"/>
  <c r="I149" i="10" s="1"/>
  <c r="I150" i="10" a="1"/>
  <c r="I150" i="10" s="1"/>
  <c r="I151" i="10" a="1"/>
  <c r="I151" i="10" s="1"/>
  <c r="I152" i="10" a="1"/>
  <c r="I152" i="10" s="1"/>
  <c r="I153" i="10" a="1"/>
  <c r="I153" i="10" s="1"/>
  <c r="I154" i="10" a="1"/>
  <c r="I154" i="10" s="1"/>
  <c r="I155" i="10" a="1"/>
  <c r="I155" i="10" s="1"/>
  <c r="I156" i="10" a="1"/>
  <c r="I156" i="10" s="1"/>
  <c r="I157" i="10" a="1"/>
  <c r="I157" i="10" s="1"/>
  <c r="I158" i="10" a="1"/>
  <c r="I158" i="10" s="1"/>
  <c r="I159" i="10" a="1"/>
  <c r="I159" i="10" s="1"/>
  <c r="I160" i="10" a="1"/>
  <c r="I160" i="10" s="1"/>
  <c r="I161" i="10" a="1"/>
  <c r="I161" i="10" s="1"/>
  <c r="I162" i="10" a="1"/>
  <c r="I162" i="10" s="1"/>
  <c r="I163" i="10" a="1"/>
  <c r="I163" i="10" s="1"/>
  <c r="I164" i="10" a="1"/>
  <c r="I164" i="10" s="1"/>
  <c r="I165" i="10" a="1"/>
  <c r="I165" i="10" s="1"/>
  <c r="I166" i="10" a="1"/>
  <c r="I166" i="10" s="1"/>
  <c r="I167" i="10" a="1"/>
  <c r="I167" i="10" s="1"/>
  <c r="I168" i="10" a="1"/>
  <c r="I168" i="10" s="1"/>
  <c r="I169" i="10" a="1"/>
  <c r="I169" i="10" s="1"/>
  <c r="I170" i="10" a="1"/>
  <c r="I170" i="10" s="1"/>
  <c r="I171" i="10" a="1"/>
  <c r="I171" i="10" s="1"/>
  <c r="I172" i="10" a="1"/>
  <c r="I172" i="10" s="1"/>
  <c r="I173" i="10" a="1"/>
  <c r="I173" i="10" s="1"/>
  <c r="I174" i="10" a="1"/>
  <c r="I174" i="10" s="1"/>
  <c r="I175" i="10" a="1"/>
  <c r="I175" i="10" s="1"/>
  <c r="I176" i="10" a="1"/>
  <c r="I176" i="10" s="1"/>
  <c r="I177" i="10" a="1"/>
  <c r="I177" i="10" s="1"/>
  <c r="I178" i="10" a="1"/>
  <c r="I178" i="10" s="1"/>
  <c r="I179" i="10" a="1"/>
  <c r="I179" i="10" s="1"/>
  <c r="I180" i="10" a="1"/>
  <c r="I180" i="10" s="1"/>
  <c r="I181" i="10" a="1"/>
  <c r="I181" i="10" s="1"/>
  <c r="I182" i="10" a="1"/>
  <c r="I182" i="10" s="1"/>
  <c r="I183" i="10" a="1"/>
  <c r="I183" i="10" s="1"/>
  <c r="I184" i="10" a="1"/>
  <c r="I184" i="10" s="1"/>
  <c r="I185" i="10" a="1"/>
  <c r="I185" i="10" s="1"/>
  <c r="I186" i="10" a="1"/>
  <c r="I186" i="10" s="1"/>
  <c r="I187" i="10" a="1"/>
  <c r="I187" i="10" s="1"/>
  <c r="I188" i="10" a="1"/>
  <c r="I188" i="10" s="1"/>
  <c r="I189" i="10" a="1"/>
  <c r="I189" i="10" s="1"/>
  <c r="I190" i="10" a="1"/>
  <c r="I190" i="10" s="1"/>
  <c r="I191" i="10" a="1"/>
  <c r="I191" i="10" s="1"/>
  <c r="I192" i="10" a="1"/>
  <c r="I192" i="10" s="1"/>
  <c r="I193" i="10" a="1"/>
  <c r="I193" i="10" s="1"/>
  <c r="I194" i="10" a="1"/>
  <c r="I194" i="10" s="1"/>
  <c r="I195" i="10" a="1"/>
  <c r="I195" i="10" s="1"/>
  <c r="I196" i="10" a="1"/>
  <c r="I196" i="10" s="1"/>
  <c r="I197" i="10" a="1"/>
  <c r="I197" i="10" s="1"/>
  <c r="I198" i="10" a="1"/>
  <c r="I198" i="10" s="1"/>
  <c r="I199" i="10" a="1"/>
  <c r="I199" i="10" s="1"/>
  <c r="I200" i="10" a="1"/>
  <c r="I200" i="10" s="1"/>
  <c r="I201" i="10" a="1"/>
  <c r="I201" i="10" s="1"/>
  <c r="I202" i="10" a="1"/>
  <c r="I202" i="10" s="1"/>
  <c r="I203" i="10" a="1"/>
  <c r="I203" i="10" s="1"/>
  <c r="I204" i="10" a="1"/>
  <c r="I204" i="10" s="1"/>
  <c r="I205" i="10" a="1"/>
  <c r="I205" i="10" s="1"/>
  <c r="I211" i="10" a="1"/>
  <c r="I211" i="10" s="1"/>
  <c r="I212" i="10" a="1"/>
  <c r="I212" i="10" s="1"/>
  <c r="I213" i="10" a="1"/>
  <c r="I213" i="10" s="1"/>
  <c r="I214" i="10" a="1"/>
  <c r="I214" i="10" s="1"/>
  <c r="I215" i="10" a="1"/>
  <c r="I215" i="10" s="1"/>
  <c r="I216" i="10" a="1"/>
  <c r="I216" i="10" s="1"/>
  <c r="I217" i="10" a="1"/>
  <c r="I217" i="10" s="1"/>
  <c r="I218" i="10" a="1"/>
  <c r="I218" i="10" s="1"/>
  <c r="I219" i="10" a="1"/>
  <c r="I219" i="10" s="1"/>
  <c r="I220" i="10" a="1"/>
  <c r="I220" i="10" s="1"/>
  <c r="I221" i="10" a="1"/>
  <c r="I221" i="10" s="1"/>
  <c r="I222" i="10" a="1"/>
  <c r="I222" i="10" s="1"/>
  <c r="I3" i="10" a="1"/>
  <c r="I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<sst xmlns="http://schemas.openxmlformats.org/spreadsheetml/2006/main" count="3048" uniqueCount="788">
  <si>
    <t>AGILENT</t>
  </si>
  <si>
    <t>HCT</t>
  </si>
  <si>
    <t>EME</t>
  </si>
  <si>
    <t>SUW-S0026</t>
  </si>
  <si>
    <t>Directional Coupler</t>
  </si>
  <si>
    <t>Digital Multimeter</t>
  </si>
  <si>
    <t>FLUKE</t>
  </si>
  <si>
    <t>17B</t>
  </si>
  <si>
    <t>Dipole Antenna</t>
  </si>
  <si>
    <t>Temp and Humidity recorder</t>
  </si>
  <si>
    <t>LUTRON</t>
  </si>
  <si>
    <t>MHB-382SD</t>
  </si>
  <si>
    <t>SPEAG</t>
  </si>
  <si>
    <t>D2100V2</t>
  </si>
  <si>
    <t>1037</t>
  </si>
  <si>
    <t>SUW-S0020</t>
  </si>
  <si>
    <t>Head &amp; Body 2100 MHz</t>
  </si>
  <si>
    <t>Thermometer</t>
  </si>
  <si>
    <t>LKM</t>
  </si>
  <si>
    <t>DTM3000</t>
  </si>
  <si>
    <t>3424</t>
  </si>
  <si>
    <t>SUW-S0025</t>
  </si>
  <si>
    <t>Signal Generator</t>
  </si>
  <si>
    <t>100KHz ~ 6GHz</t>
  </si>
  <si>
    <t>D1750V2</t>
  </si>
  <si>
    <t>1125</t>
  </si>
  <si>
    <t>SUW-S0017</t>
  </si>
  <si>
    <t>Head &amp; Body 1750 MHz</t>
  </si>
  <si>
    <t>Dasy52</t>
  </si>
  <si>
    <t>Dasy52 SAR System</t>
  </si>
  <si>
    <t>F14/5T5ZB1/A/01</t>
  </si>
  <si>
    <t>SUW-S0037</t>
  </si>
  <si>
    <t>Attenuator</t>
  </si>
  <si>
    <t>N5181A</t>
  </si>
  <si>
    <t>MY50145882</t>
  </si>
  <si>
    <t>SUW-S0001</t>
  </si>
  <si>
    <t>28050366WS</t>
  </si>
  <si>
    <t>SUW-S0036</t>
  </si>
  <si>
    <t>Data Acquisition System</t>
  </si>
  <si>
    <t>DAE4</t>
  </si>
  <si>
    <t>1447</t>
  </si>
  <si>
    <t>SUW-S0030</t>
  </si>
  <si>
    <t xml:space="preserve">-100 TO +300Mv </t>
  </si>
  <si>
    <t>D750V3</t>
  </si>
  <si>
    <t>1122</t>
  </si>
  <si>
    <t>SUW-S0015</t>
  </si>
  <si>
    <t>Head &amp; Body 750 MHz</t>
  </si>
  <si>
    <t>D5GHzV2</t>
  </si>
  <si>
    <t>1184</t>
  </si>
  <si>
    <t>SUW-S0022</t>
  </si>
  <si>
    <t>Head &amp; Body 2450 MHz</t>
  </si>
  <si>
    <t>E-field probe</t>
  </si>
  <si>
    <t>EX3DV4</t>
  </si>
  <si>
    <t>7313</t>
  </si>
  <si>
    <t>SUW-S0031</t>
  </si>
  <si>
    <t>778D</t>
  </si>
  <si>
    <t>MY52180432</t>
  </si>
  <si>
    <t>SUW-S0009</t>
  </si>
  <si>
    <t>2~18GHz</t>
  </si>
  <si>
    <t>Low Pass Filter</t>
  </si>
  <si>
    <t>FILTRON</t>
  </si>
  <si>
    <t xml:space="preserve">L14012FL </t>
  </si>
  <si>
    <t>1410003S</t>
  </si>
  <si>
    <t>SUW-S0007</t>
  </si>
  <si>
    <t>~3GHz</t>
  </si>
  <si>
    <t>Wideband Radio Communications Tester</t>
  </si>
  <si>
    <t>ROHDE &amp; SCHWARZ</t>
  </si>
  <si>
    <t>CMW500</t>
  </si>
  <si>
    <t>772D</t>
  </si>
  <si>
    <t>MY52180193</t>
  </si>
  <si>
    <t>SUW-S0010</t>
  </si>
  <si>
    <t>100M~2GHz</t>
  </si>
  <si>
    <t>150313</t>
  </si>
  <si>
    <t>SUW-S0011</t>
  </si>
  <si>
    <t>SUW-S0027</t>
  </si>
  <si>
    <t>1494</t>
  </si>
  <si>
    <t>SUW-S0029</t>
  </si>
  <si>
    <t>8491B/010</t>
  </si>
  <si>
    <t>MY39269315</t>
  </si>
  <si>
    <t>SUW-S0003</t>
  </si>
  <si>
    <t>10dB</t>
  </si>
  <si>
    <t>8491B/003</t>
  </si>
  <si>
    <t>MY39269292</t>
  </si>
  <si>
    <t>SUW-S0002</t>
  </si>
  <si>
    <t xml:space="preserve">3dB </t>
  </si>
  <si>
    <t>Power Sensor</t>
  </si>
  <si>
    <t xml:space="preserve">U2000A </t>
  </si>
  <si>
    <t>MY54260007</t>
  </si>
  <si>
    <t>SUW-S0014</t>
  </si>
  <si>
    <t>10MHz ~ 18GHz</t>
  </si>
  <si>
    <t>D1950V3</t>
  </si>
  <si>
    <t>1157</t>
  </si>
  <si>
    <t>SUW-S0019</t>
  </si>
  <si>
    <t>Head &amp; Body 1950 MHz</t>
  </si>
  <si>
    <t>150314</t>
  </si>
  <si>
    <t>SUW-S0012</t>
  </si>
  <si>
    <t>Amplifier</t>
  </si>
  <si>
    <t>EXODUS</t>
  </si>
  <si>
    <t>AMP2027</t>
  </si>
  <si>
    <t>1410025-_x000D_
AMP2027-10003</t>
  </si>
  <si>
    <t>SUW-S0005</t>
  </si>
  <si>
    <t>100M~6GHz</t>
  </si>
  <si>
    <t>D835V2</t>
  </si>
  <si>
    <t>4d174</t>
  </si>
  <si>
    <t>SUW-S0016</t>
  </si>
  <si>
    <t>Head &amp; Body 835 MHz</t>
  </si>
  <si>
    <t>DIELECTRIC PROBES</t>
  </si>
  <si>
    <t>DAK-3.5 Probe</t>
  </si>
  <si>
    <t>1196</t>
  </si>
  <si>
    <t>SUW-S0024</t>
  </si>
  <si>
    <t>MICROLAB</t>
  </si>
  <si>
    <t xml:space="preserve">LA-60N </t>
  </si>
  <si>
    <t>03942</t>
  </si>
  <si>
    <t>SUW-S0008</t>
  </si>
  <si>
    <t>~6GHz</t>
  </si>
  <si>
    <t>D2450V2</t>
  </si>
  <si>
    <t>939</t>
  </si>
  <si>
    <t>SUW-S0021</t>
  </si>
  <si>
    <t>F14/5VR2C1/A/01</t>
  </si>
  <si>
    <t>SUW-S0038</t>
  </si>
  <si>
    <t>D1900V2</t>
  </si>
  <si>
    <t>5d190</t>
  </si>
  <si>
    <t>SUW-S0018</t>
  </si>
  <si>
    <t>Head &amp; Body 1900 MHz</t>
  </si>
  <si>
    <t>8491B/020</t>
  </si>
  <si>
    <t>MY39269298</t>
  </si>
  <si>
    <t>SUW-S0004</t>
  </si>
  <si>
    <t xml:space="preserve">20dB </t>
  </si>
  <si>
    <t>27770592WS</t>
  </si>
  <si>
    <t>SUW-S0035</t>
  </si>
  <si>
    <t>7314</t>
  </si>
  <si>
    <t>SUW-S0032</t>
  </si>
  <si>
    <t>Shield Room</t>
  </si>
  <si>
    <t>SUW-S0028</t>
  </si>
  <si>
    <t>AH.50215</t>
  </si>
  <si>
    <t>SUW-S0033</t>
  </si>
  <si>
    <t>NETWORK ANALYZER</t>
  </si>
  <si>
    <t>E5071C</t>
  </si>
  <si>
    <t>MY46522054</t>
  </si>
  <si>
    <t>SUW-S0023</t>
  </si>
  <si>
    <t>MY54260010</t>
  </si>
  <si>
    <t>SUW-S0013</t>
  </si>
  <si>
    <t xml:space="preserve">LA-15N </t>
  </si>
  <si>
    <t>03943</t>
  </si>
  <si>
    <t>SUW-S0006</t>
  </si>
  <si>
    <t>~1.5GHz</t>
  </si>
  <si>
    <t>AH.50213</t>
  </si>
  <si>
    <t>SUW-S0034</t>
  </si>
  <si>
    <t>4d194</t>
  </si>
  <si>
    <t>SUW-S0039</t>
  </si>
  <si>
    <t>D1800V2</t>
  </si>
  <si>
    <t>2d204</t>
  </si>
  <si>
    <t>SUW-S0040</t>
  </si>
  <si>
    <t>Head &amp; Body 1800 MHz</t>
  </si>
  <si>
    <t>5d199</t>
  </si>
  <si>
    <t>SUW-S0041</t>
  </si>
  <si>
    <t>960</t>
  </si>
  <si>
    <t>SUW-S0042</t>
  </si>
  <si>
    <t>1209</t>
  </si>
  <si>
    <t>SUW-S0044</t>
  </si>
  <si>
    <t>Head &amp; Body 5GHz</t>
  </si>
  <si>
    <t>D2600V2</t>
  </si>
  <si>
    <t>1097</t>
  </si>
  <si>
    <t>SUW-S0043</t>
  </si>
  <si>
    <t>Head &amp; Body 2600 MHz</t>
  </si>
  <si>
    <t>SUW-S0045</t>
  </si>
  <si>
    <t>7376</t>
  </si>
  <si>
    <t>SUW-S0046</t>
  </si>
  <si>
    <t>7330</t>
  </si>
  <si>
    <t>SUW-S0047</t>
  </si>
  <si>
    <t>F14/5W9FA1/A/01</t>
  </si>
  <si>
    <t>SUW-S0048</t>
  </si>
  <si>
    <t>AH.91478</t>
  </si>
  <si>
    <t>SUW-S0049</t>
  </si>
  <si>
    <t>AH.91463</t>
  </si>
  <si>
    <t>SUW-S0050</t>
  </si>
  <si>
    <t>Wireless communications test set</t>
  </si>
  <si>
    <t>E5515C</t>
  </si>
  <si>
    <t>MY50260520</t>
  </si>
  <si>
    <t>SUW-S0051</t>
  </si>
  <si>
    <r>
      <rPr>
        <sz val="10"/>
        <color theme="1"/>
        <rFont val="맑은 고딕"/>
        <family val="2"/>
        <charset val="129"/>
      </rPr>
      <t>−</t>
    </r>
    <r>
      <rPr>
        <sz val="10"/>
        <color theme="1"/>
        <rFont val="Arial"/>
        <family val="2"/>
      </rPr>
      <t>200 ~ 820°C</t>
    </r>
  </si>
  <si>
    <t>장비명</t>
  </si>
  <si>
    <t>제조사</t>
  </si>
  <si>
    <t>모델명</t>
  </si>
  <si>
    <t>일련번호</t>
  </si>
  <si>
    <t>관리번호</t>
  </si>
  <si>
    <t>N/A</t>
  </si>
  <si>
    <t>교정</t>
  </si>
  <si>
    <t>최종교정일</t>
  </si>
  <si>
    <t>차기교정일</t>
  </si>
  <si>
    <t>장비사양</t>
  </si>
  <si>
    <t>설치장소</t>
  </si>
  <si>
    <t>교정주기</t>
  </si>
  <si>
    <t>GSM,CDMA,WCDMA,LTE</t>
  </si>
  <si>
    <t>1000V</t>
  </si>
  <si>
    <r>
      <t>50</t>
    </r>
    <r>
      <rPr>
        <sz val="10"/>
        <color theme="1"/>
        <rFont val="맑은 고딕"/>
        <family val="2"/>
        <charset val="129"/>
      </rPr>
      <t>℃, 90%</t>
    </r>
  </si>
  <si>
    <t>Head &amp; Body 5 GHz</t>
  </si>
  <si>
    <t>GSM,CDMA,WCDMA</t>
  </si>
  <si>
    <t>2F- SAR</t>
  </si>
  <si>
    <r>
      <t>7000</t>
    </r>
    <r>
      <rPr>
        <sz val="10"/>
        <color theme="1"/>
        <rFont val="맑은 고딕"/>
        <family val="3"/>
        <charset val="129"/>
      </rPr>
      <t>×</t>
    </r>
    <r>
      <rPr>
        <sz val="10"/>
        <color theme="1"/>
        <rFont val="Arial"/>
        <family val="2"/>
      </rPr>
      <t>5000×3000 (mm)</t>
    </r>
  </si>
  <si>
    <t>200MHz~20GHz</t>
  </si>
  <si>
    <t>9KHz~6.5GHz</t>
  </si>
  <si>
    <t>1468</t>
  </si>
  <si>
    <t>번호</t>
  </si>
  <si>
    <t>위치</t>
  </si>
  <si>
    <r>
      <t>7000</t>
    </r>
    <r>
      <rPr>
        <sz val="10"/>
        <rFont val="맑은 고딕"/>
        <family val="3"/>
        <charset val="129"/>
      </rPr>
      <t>×</t>
    </r>
    <r>
      <rPr>
        <sz val="10"/>
        <rFont val="Arial"/>
        <family val="2"/>
      </rPr>
      <t>5000×3000 (mm)</t>
    </r>
  </si>
  <si>
    <t>10MHz to 6GHz</t>
  </si>
  <si>
    <t>교정기관</t>
  </si>
  <si>
    <t>관리번호</t>
    <phoneticPr fontId="9" type="noConversion"/>
  </si>
  <si>
    <t>구입년도</t>
    <phoneticPr fontId="9" type="noConversion"/>
  </si>
  <si>
    <r>
      <rPr>
        <b/>
        <sz val="11"/>
        <color rgb="FFFFFFFF"/>
        <rFont val="맑은 고딕"/>
        <family val="3"/>
        <charset val="129"/>
      </rPr>
      <t>교정주기</t>
    </r>
    <r>
      <rPr>
        <b/>
        <sz val="11"/>
        <color indexed="9"/>
        <rFont val="Arial"/>
        <family val="2"/>
      </rPr>
      <t xml:space="preserve">
(</t>
    </r>
    <r>
      <rPr>
        <b/>
        <sz val="11"/>
        <color rgb="FFFFFFFF"/>
        <rFont val="돋움"/>
        <family val="2"/>
        <charset val="129"/>
      </rPr>
      <t>개월)</t>
    </r>
    <phoneticPr fontId="9" type="noConversion"/>
  </si>
  <si>
    <t>최종교정일</t>
    <phoneticPr fontId="9" type="noConversion"/>
  </si>
  <si>
    <t>중간점검 대상
(O/X)</t>
    <phoneticPr fontId="9" type="noConversion"/>
  </si>
  <si>
    <r>
      <t xml:space="preserve">자산번호
</t>
    </r>
    <r>
      <rPr>
        <b/>
        <sz val="9"/>
        <color rgb="FFFFFFFF"/>
        <rFont val="돋움"/>
        <family val="3"/>
        <charset val="129"/>
      </rPr>
      <t>(번호 or N/A)</t>
    </r>
    <phoneticPr fontId="9" type="noConversion"/>
  </si>
  <si>
    <r>
      <t xml:space="preserve">관리방법
</t>
    </r>
    <r>
      <rPr>
        <b/>
        <sz val="9"/>
        <color rgb="FFFFFFFF"/>
        <rFont val="돋움"/>
        <family val="3"/>
        <charset val="129"/>
      </rPr>
      <t>(외부교정/자체점검/비대상)</t>
    </r>
    <phoneticPr fontId="9" type="noConversion"/>
  </si>
  <si>
    <r>
      <t xml:space="preserve">가용 여부
</t>
    </r>
    <r>
      <rPr>
        <b/>
        <sz val="9"/>
        <color rgb="FFFFFFFF"/>
        <rFont val="맑은 고딕"/>
        <family val="3"/>
        <charset val="129"/>
      </rPr>
      <t>(사용/고장/여분)</t>
    </r>
    <phoneticPr fontId="9" type="noConversion"/>
  </si>
  <si>
    <t xml:space="preserve">                (OO팀) 시험설비 관리대장</t>
    <phoneticPr fontId="9" type="noConversion"/>
  </si>
  <si>
    <t>외부교정</t>
  </si>
  <si>
    <t>125-531</t>
  </si>
  <si>
    <t>125-550</t>
  </si>
  <si>
    <t>Communications Tester</t>
  </si>
  <si>
    <t>125-551</t>
  </si>
  <si>
    <t>SUW-S0053</t>
  </si>
  <si>
    <t>SUW-S0054</t>
  </si>
  <si>
    <t>SUW-S0055</t>
  </si>
  <si>
    <t>HAC Arc Phantom</t>
  </si>
  <si>
    <t>SUW-S0056</t>
  </si>
  <si>
    <t>HAC Calibration Coil</t>
  </si>
  <si>
    <t>SUW-S0057</t>
  </si>
  <si>
    <t>AMMI</t>
  </si>
  <si>
    <t>Isotropic E-field Probe</t>
  </si>
  <si>
    <t>HAC Dipole Antenna</t>
  </si>
  <si>
    <t>SUW-S0065</t>
  </si>
  <si>
    <t xml:space="preserve">HAC Dipole Antenna </t>
  </si>
  <si>
    <t>SUW-S0066</t>
  </si>
  <si>
    <t>SUW-S0067</t>
  </si>
  <si>
    <t>SUW-S0068</t>
  </si>
  <si>
    <t>CMW controller</t>
  </si>
  <si>
    <t>SUW-S0069</t>
  </si>
  <si>
    <t>SUW-S0070</t>
  </si>
  <si>
    <t>SUW-S0071</t>
  </si>
  <si>
    <t>SUW-S0072</t>
  </si>
  <si>
    <t>SUW-S0073</t>
  </si>
  <si>
    <t>SUW-S0074</t>
  </si>
  <si>
    <t>SUW-S0075</t>
  </si>
  <si>
    <t>SUW-S0076</t>
  </si>
  <si>
    <t>SUW-S0077</t>
  </si>
  <si>
    <t>SUW-S0078</t>
  </si>
  <si>
    <t>SUW-S0079</t>
  </si>
  <si>
    <t>SUW-S0081</t>
  </si>
  <si>
    <t>125-760</t>
  </si>
  <si>
    <t>Verification kit</t>
  </si>
  <si>
    <t>SUW-S0082</t>
  </si>
  <si>
    <t>125-761</t>
  </si>
  <si>
    <t>SUW-S0083</t>
  </si>
  <si>
    <t>SUW-S0084</t>
  </si>
  <si>
    <t>Isotropic E-field probe</t>
  </si>
  <si>
    <t>SUW-S0085</t>
  </si>
  <si>
    <t>HAC Audio Magnetic Field probe</t>
  </si>
  <si>
    <t>SUW-S0087</t>
  </si>
  <si>
    <t>HAC dipole Antenna</t>
  </si>
  <si>
    <t>SUW-S0088</t>
  </si>
  <si>
    <t>SUW-S0089</t>
  </si>
  <si>
    <t>CHAMBER</t>
  </si>
  <si>
    <t>SUW-S0090</t>
  </si>
  <si>
    <t>125-872</t>
  </si>
  <si>
    <t>SUW-S0092</t>
  </si>
  <si>
    <t>125-878</t>
  </si>
  <si>
    <t>SUW-S0093</t>
  </si>
  <si>
    <t>125-879</t>
  </si>
  <si>
    <t>125-880</t>
  </si>
  <si>
    <t>125-881</t>
  </si>
  <si>
    <t>SUW-S0099</t>
  </si>
  <si>
    <t>SUW-S0101</t>
  </si>
  <si>
    <t>SUW-S0102</t>
  </si>
  <si>
    <t>125-924</t>
  </si>
  <si>
    <t>SUW-S0119</t>
  </si>
  <si>
    <t>SUW-S0120</t>
  </si>
  <si>
    <t>SUW-S0121</t>
  </si>
  <si>
    <t>SUW-S0122</t>
  </si>
  <si>
    <t>RF Combiner</t>
  </si>
  <si>
    <t>SUW-S0157</t>
  </si>
  <si>
    <t>SUW-S0158</t>
  </si>
  <si>
    <t>SUW-S0159</t>
  </si>
  <si>
    <t>SUW-S0163</t>
  </si>
  <si>
    <t>SUW-S0166</t>
  </si>
  <si>
    <t>SUW-S0167</t>
  </si>
  <si>
    <t>SUW-S0171</t>
  </si>
  <si>
    <t>SUW-S0172</t>
  </si>
  <si>
    <t>SUW-S0174</t>
  </si>
  <si>
    <t>SUW-S0175</t>
  </si>
  <si>
    <t>SUW-S0176</t>
  </si>
  <si>
    <t>SUW-S0179</t>
  </si>
  <si>
    <t>SUW-S0180</t>
  </si>
  <si>
    <t>SUW-S0181</t>
  </si>
  <si>
    <t>DAK Probe</t>
  </si>
  <si>
    <t>SUW-S0184</t>
  </si>
  <si>
    <t>Vector Network Analyzer</t>
  </si>
  <si>
    <t>SUW-S0185</t>
  </si>
  <si>
    <t>SUW-S0186</t>
  </si>
  <si>
    <t>SUW-S0187</t>
  </si>
  <si>
    <t>SUW-S0188</t>
  </si>
  <si>
    <t>SUW-S0189</t>
  </si>
  <si>
    <t>SUW-S0190</t>
  </si>
  <si>
    <t>SUW-S0191</t>
  </si>
  <si>
    <t>SUW-S0193</t>
  </si>
  <si>
    <t>SUW-S0194</t>
  </si>
  <si>
    <t>SUW-S0196</t>
  </si>
  <si>
    <t>SUW-S0197</t>
  </si>
  <si>
    <t>SUW-S0198</t>
  </si>
  <si>
    <t>SUW-S0199</t>
  </si>
  <si>
    <t>USB Power Sensor</t>
  </si>
  <si>
    <t>UXM 5G Wireless Test Platform</t>
  </si>
  <si>
    <t>mmWave Transceiver</t>
  </si>
  <si>
    <t>SUW-S0224</t>
  </si>
  <si>
    <t>Power Meter</t>
  </si>
  <si>
    <t>SUW-S0257</t>
  </si>
  <si>
    <t>SUW-S0258</t>
  </si>
  <si>
    <t>SUW-S0259</t>
  </si>
  <si>
    <t>SUW-S0260</t>
  </si>
  <si>
    <t>-</t>
  </si>
  <si>
    <t>125-523</t>
  </si>
  <si>
    <t>125-560</t>
  </si>
  <si>
    <t>125-537</t>
  </si>
  <si>
    <t>125-519</t>
  </si>
  <si>
    <t>125-518</t>
  </si>
  <si>
    <t>125-522</t>
  </si>
  <si>
    <t>125-520</t>
  </si>
  <si>
    <t>125-509</t>
  </si>
  <si>
    <t>125-508</t>
  </si>
  <si>
    <t>125-507</t>
  </si>
  <si>
    <t>125-603</t>
  </si>
  <si>
    <t>SUW-S0052</t>
  </si>
  <si>
    <t>125-696</t>
  </si>
  <si>
    <t>125-SE181</t>
  </si>
  <si>
    <t>SUW-S0064</t>
  </si>
  <si>
    <t>125-SE183</t>
  </si>
  <si>
    <t>125-736(1)</t>
  </si>
  <si>
    <t>125-738</t>
  </si>
  <si>
    <t>125-740</t>
  </si>
  <si>
    <t>125-741</t>
  </si>
  <si>
    <t>125-742</t>
  </si>
  <si>
    <t>125-739</t>
  </si>
  <si>
    <t>125-759</t>
  </si>
  <si>
    <t>125-758</t>
  </si>
  <si>
    <t>125-810</t>
  </si>
  <si>
    <t>125-814</t>
  </si>
  <si>
    <t>125-813</t>
  </si>
  <si>
    <t>SUW-S0086</t>
  </si>
  <si>
    <t>125-811</t>
  </si>
  <si>
    <t>125-812</t>
  </si>
  <si>
    <t>125-778</t>
  </si>
  <si>
    <t>SUW-S0094</t>
  </si>
  <si>
    <t>SUW-S0095</t>
  </si>
  <si>
    <t>SUW-S0096</t>
  </si>
  <si>
    <t>125-757</t>
  </si>
  <si>
    <t>SUW-S0098</t>
  </si>
  <si>
    <t>SUW-S0100</t>
  </si>
  <si>
    <t>125-833</t>
  </si>
  <si>
    <t>SUW-S0103</t>
  </si>
  <si>
    <t>SUW-S0104</t>
  </si>
  <si>
    <t>SUW-S0105</t>
  </si>
  <si>
    <t>SUW-S0107</t>
  </si>
  <si>
    <t>SUW-S0108</t>
  </si>
  <si>
    <t>SUW-S0109</t>
  </si>
  <si>
    <t>125-931</t>
  </si>
  <si>
    <t>SUW-S0110</t>
  </si>
  <si>
    <t>125-932</t>
  </si>
  <si>
    <t>SUW-S0111</t>
  </si>
  <si>
    <t>SUW-S0112</t>
  </si>
  <si>
    <t>SUW-S0115</t>
  </si>
  <si>
    <t>SUW-S0116</t>
  </si>
  <si>
    <t>SUW-S0117</t>
  </si>
  <si>
    <t>SUW-S0118</t>
  </si>
  <si>
    <t>125-933</t>
  </si>
  <si>
    <t>SUW-S0123</t>
  </si>
  <si>
    <t>SUW-S0124</t>
  </si>
  <si>
    <t>SUW-S0125</t>
  </si>
  <si>
    <t>SUW-S0126</t>
  </si>
  <si>
    <t>SUW-S0127</t>
  </si>
  <si>
    <t>SUW-S0128</t>
  </si>
  <si>
    <t>SUW-S0130</t>
  </si>
  <si>
    <t>125-928</t>
  </si>
  <si>
    <t>125-929</t>
  </si>
  <si>
    <t>SUW-S0132</t>
  </si>
  <si>
    <t>125-SE283</t>
  </si>
  <si>
    <t>SUW-S0133</t>
  </si>
  <si>
    <t>125-SE284</t>
  </si>
  <si>
    <t>SUW-S0134</t>
  </si>
  <si>
    <t>125-SE286</t>
  </si>
  <si>
    <t>SUW-S0136</t>
  </si>
  <si>
    <t>SUW-S0137</t>
  </si>
  <si>
    <t>SUW-S0138</t>
  </si>
  <si>
    <t>SUW-S0139</t>
  </si>
  <si>
    <t>SUW-S0141</t>
  </si>
  <si>
    <t>SUW-S0142</t>
  </si>
  <si>
    <t>SUW-S0143</t>
  </si>
  <si>
    <t>SUW-S0144</t>
  </si>
  <si>
    <t>SUW-S0145</t>
  </si>
  <si>
    <t>SUW-S0146</t>
  </si>
  <si>
    <t>SUW-S0153</t>
  </si>
  <si>
    <t>SUW-S0154</t>
  </si>
  <si>
    <t>SUW-S0155</t>
  </si>
  <si>
    <t>SUW-S0156</t>
  </si>
  <si>
    <t>SUW-S0160</t>
  </si>
  <si>
    <t>125-934</t>
  </si>
  <si>
    <t>SUW-S0161</t>
  </si>
  <si>
    <t>SUW-S0162</t>
  </si>
  <si>
    <t>125-942</t>
  </si>
  <si>
    <t>SUW-S0164</t>
  </si>
  <si>
    <t>SUW-S0165</t>
  </si>
  <si>
    <t>125-944</t>
  </si>
  <si>
    <t>125-945</t>
  </si>
  <si>
    <t>SUW-S0168</t>
  </si>
  <si>
    <t>125-946</t>
  </si>
  <si>
    <t>SUW-S0169</t>
  </si>
  <si>
    <t>125-947</t>
  </si>
  <si>
    <t>SUW-S0170</t>
  </si>
  <si>
    <t>125-950</t>
  </si>
  <si>
    <t>125-951</t>
  </si>
  <si>
    <t>125-943</t>
  </si>
  <si>
    <t>SUW-S0173</t>
  </si>
  <si>
    <t>125-941</t>
  </si>
  <si>
    <t>125-940</t>
  </si>
  <si>
    <t>SUW-S0177</t>
  </si>
  <si>
    <t>SUW-S0178</t>
  </si>
  <si>
    <t>125-953</t>
  </si>
  <si>
    <t>SUW-S0182</t>
  </si>
  <si>
    <t>125-954</t>
  </si>
  <si>
    <t>SUW-S0183</t>
  </si>
  <si>
    <t>125-955</t>
  </si>
  <si>
    <t>125-936</t>
  </si>
  <si>
    <t>125-937</t>
  </si>
  <si>
    <t>125-938</t>
  </si>
  <si>
    <t>125-939</t>
  </si>
  <si>
    <t>125-959</t>
  </si>
  <si>
    <t>125-SE298</t>
  </si>
  <si>
    <t>SUW-S0192</t>
  </si>
  <si>
    <t>SUW-S0202</t>
  </si>
  <si>
    <t>SUW-S0203</t>
  </si>
  <si>
    <t>SUW-S0204</t>
  </si>
  <si>
    <t>SUW-S0206</t>
  </si>
  <si>
    <t>SUW-S0207</t>
  </si>
  <si>
    <t>SUW-S0208</t>
  </si>
  <si>
    <t>SUW-S0209</t>
  </si>
  <si>
    <t>SUW-S0210</t>
  </si>
  <si>
    <t>SUW-S0211</t>
  </si>
  <si>
    <t>SUW-S0212</t>
  </si>
  <si>
    <t>SUW-S0213</t>
  </si>
  <si>
    <t>SUW-S0214</t>
  </si>
  <si>
    <t>SUW-S0215</t>
  </si>
  <si>
    <t>SUW-S0216</t>
  </si>
  <si>
    <t>SUW-S0217</t>
  </si>
  <si>
    <t>SUW-S0218</t>
  </si>
  <si>
    <t>SUW-S0219</t>
  </si>
  <si>
    <t>SUW-S0220</t>
  </si>
  <si>
    <t>SUW-S0221</t>
  </si>
  <si>
    <t>SUW-S0222</t>
  </si>
  <si>
    <t>SUW-S0223</t>
  </si>
  <si>
    <t>SUW-S0225</t>
  </si>
  <si>
    <t>SUW-S0226</t>
  </si>
  <si>
    <t>SUW-S0227</t>
  </si>
  <si>
    <t>SUW-S0228</t>
  </si>
  <si>
    <t>SUW-S0229</t>
  </si>
  <si>
    <t>SUW-S0230</t>
  </si>
  <si>
    <t>SUW-S0231</t>
  </si>
  <si>
    <t>SUW-S0233</t>
  </si>
  <si>
    <t>SUW-S0234</t>
  </si>
  <si>
    <t>SUW-S0235</t>
  </si>
  <si>
    <t>SUW-S0236</t>
  </si>
  <si>
    <t>SUW-S0237</t>
  </si>
  <si>
    <t>SUW-S0238</t>
  </si>
  <si>
    <t>SUW-S0239</t>
  </si>
  <si>
    <t>SUW-S0240</t>
  </si>
  <si>
    <t>SUW-S0241</t>
  </si>
  <si>
    <t>SUW-S0242</t>
  </si>
  <si>
    <t>SUW-S0243</t>
  </si>
  <si>
    <t>SUW-S0249</t>
  </si>
  <si>
    <t>SUW-S0250</t>
  </si>
  <si>
    <t>SUW-S0251</t>
  </si>
  <si>
    <t>SUW-S0252</t>
  </si>
  <si>
    <t>SUW-S0253</t>
  </si>
  <si>
    <t>SUW-S0254</t>
  </si>
  <si>
    <t>SUW-S0255</t>
  </si>
  <si>
    <t>SUW-S0256</t>
  </si>
  <si>
    <t>CHAMBER 1</t>
  </si>
  <si>
    <t>CHAMBER 2</t>
  </si>
  <si>
    <t>CHAMBER 3</t>
  </si>
  <si>
    <t>Dasy 6</t>
  </si>
  <si>
    <t>Exposure level tester(B-field Probe)</t>
  </si>
  <si>
    <t>HAC Audio Magnetic  Field Probe</t>
  </si>
  <si>
    <t>RF 전자파 측정기</t>
  </si>
  <si>
    <t>Dasy6</t>
  </si>
  <si>
    <t>Spectrum Analyzer</t>
  </si>
  <si>
    <t>5G probe</t>
  </si>
  <si>
    <t>TERMINATION</t>
  </si>
  <si>
    <t xml:space="preserve">Power Sensor </t>
  </si>
  <si>
    <t xml:space="preserve">UXM 5G Wireless Test Platform </t>
  </si>
  <si>
    <t xml:space="preserve">Common Interface Unit </t>
  </si>
  <si>
    <t xml:space="preserve">mmWave Transceiver </t>
  </si>
  <si>
    <t>CMX</t>
  </si>
  <si>
    <t>Head and Torso Simulator incl Right Ear Simulator and Handset Positioner</t>
  </si>
  <si>
    <t>Single Channel, Universal Microphone Conditioning Amplifier</t>
  </si>
  <si>
    <t>Sound Calibrator, Class 1 and LS, 94 and 114 dB, 1 kHz.</t>
  </si>
  <si>
    <t>Production Test USB-DAQ 8/2-ch.</t>
  </si>
  <si>
    <t>USB Average power sensor</t>
  </si>
  <si>
    <t>Humidity.Temp.Baro Data Recorder</t>
  </si>
  <si>
    <t>Volume Control Chamber</t>
  </si>
  <si>
    <t>Probe</t>
  </si>
  <si>
    <t>DIGITAL THERMOMETER</t>
  </si>
  <si>
    <t>DASY 8</t>
  </si>
  <si>
    <t>Audio Analyzer</t>
  </si>
  <si>
    <t>USB Audio Module</t>
  </si>
  <si>
    <t>Loop Antenna</t>
  </si>
  <si>
    <t>PXA Signal Analyzer</t>
  </si>
  <si>
    <t>Radio Communication Test Station</t>
  </si>
  <si>
    <t>Radio Communication Analyzer</t>
  </si>
  <si>
    <t>Power Sencor</t>
  </si>
  <si>
    <t>V-Coil</t>
  </si>
  <si>
    <t>MAGPy Probe</t>
  </si>
  <si>
    <t>Band Pass Filter</t>
  </si>
  <si>
    <t>Sound level meter</t>
  </si>
  <si>
    <t>자체점검</t>
  </si>
  <si>
    <t>비대상</t>
  </si>
  <si>
    <t>Bruel&amp;Kjaer</t>
  </si>
  <si>
    <t>Anritsu</t>
  </si>
  <si>
    <t>NARDA</t>
  </si>
  <si>
    <t>MINI-CIRCUITS</t>
  </si>
  <si>
    <t>WEINSCHEL</t>
  </si>
  <si>
    <t>KEYSIGHT</t>
  </si>
  <si>
    <t>KRYTAR</t>
  </si>
  <si>
    <t>2019A84</t>
  </si>
  <si>
    <t>LA-15N</t>
  </si>
  <si>
    <t>LA-60N</t>
  </si>
  <si>
    <t>U2000A</t>
  </si>
  <si>
    <t>SAR Shield Room2</t>
  </si>
  <si>
    <t>SAR Shield Room3</t>
  </si>
  <si>
    <t>D1640V2</t>
  </si>
  <si>
    <t>SD HAC P01 BA</t>
  </si>
  <si>
    <t>SD HAC P02 AB</t>
  </si>
  <si>
    <t>SE UMS 010 AB</t>
  </si>
  <si>
    <t>CD835V3</t>
  </si>
  <si>
    <t>CD1880V3</t>
  </si>
  <si>
    <t>CD2450V3</t>
  </si>
  <si>
    <t>CD2600V3</t>
  </si>
  <si>
    <t>CMWC</t>
  </si>
  <si>
    <t>CMW-234</t>
  </si>
  <si>
    <t>CMW 500</t>
  </si>
  <si>
    <t>D2300V2</t>
  </si>
  <si>
    <t>AM1DV3</t>
  </si>
  <si>
    <t>D3700V2</t>
  </si>
  <si>
    <t>D3500V2</t>
  </si>
  <si>
    <t>5G verification source_30GHz</t>
  </si>
  <si>
    <t>5G verification source_60GHz</t>
  </si>
  <si>
    <t>EF3DV3</t>
  </si>
  <si>
    <t>CD3500V3</t>
  </si>
  <si>
    <t>SAR shield room 4</t>
  </si>
  <si>
    <t>Spectrum Rider FPH</t>
  </si>
  <si>
    <t>NLP-1200</t>
  </si>
  <si>
    <t>DAKS-3.5 Probe</t>
  </si>
  <si>
    <t>DAKS_VNA R140</t>
  </si>
  <si>
    <t>U8903B</t>
  </si>
  <si>
    <t>E7515-60023</t>
  </si>
  <si>
    <t>E751B</t>
  </si>
  <si>
    <t>E7515B</t>
  </si>
  <si>
    <t>ML2438A</t>
  </si>
  <si>
    <t>DAE 4</t>
  </si>
  <si>
    <t>L14012FL</t>
  </si>
  <si>
    <t>SAR Shield Room1</t>
  </si>
  <si>
    <t>Dasy52 SAR System(SAR 3)</t>
  </si>
  <si>
    <t>Dasy52 SAR System(SAR 2)</t>
  </si>
  <si>
    <t>Dasy6 SAR System(SAR 1)</t>
  </si>
  <si>
    <t>ELT-400(ELT probe 100cm2)</t>
  </si>
  <si>
    <t>EHP-200AC</t>
  </si>
  <si>
    <t>Dasy 6 SAR system(SAR 4)</t>
  </si>
  <si>
    <t>EummWV4</t>
  </si>
  <si>
    <t>M1406A</t>
  </si>
  <si>
    <t>NRP8S</t>
  </si>
  <si>
    <t>E7770A</t>
  </si>
  <si>
    <t>M1740A</t>
  </si>
  <si>
    <t>WLKX10-11000-13640-21000-60TS</t>
  </si>
  <si>
    <t>5G verification source_10GHz</t>
  </si>
  <si>
    <t>CMW C</t>
  </si>
  <si>
    <t>Z24</t>
  </si>
  <si>
    <t>CMX 500</t>
  </si>
  <si>
    <t>-4128-D-001-</t>
  </si>
  <si>
    <t>-1708---</t>
  </si>
  <si>
    <t>-4231---</t>
  </si>
  <si>
    <t>-3670-A-082-</t>
  </si>
  <si>
    <t>ZNB 20</t>
  </si>
  <si>
    <t>4216-10</t>
  </si>
  <si>
    <t>N5181B</t>
  </si>
  <si>
    <t>N5173B</t>
  </si>
  <si>
    <t>BW-N10W5+</t>
  </si>
  <si>
    <t>BW-N20W5+</t>
  </si>
  <si>
    <t>VLF-6000+</t>
  </si>
  <si>
    <t>VLF-3000+</t>
  </si>
  <si>
    <t>ZUDC20-183+</t>
  </si>
  <si>
    <t>SAR shield room 6/7</t>
  </si>
  <si>
    <t>SAR shield room 8/9</t>
  </si>
  <si>
    <t>AMP2027ADB</t>
  </si>
  <si>
    <t>D3900V2</t>
  </si>
  <si>
    <t>D6.5GHz</t>
  </si>
  <si>
    <t>5G Verification Source_30GHz</t>
  </si>
  <si>
    <t>DASY 8 MP83 TX2-60L(SAR 8)</t>
  </si>
  <si>
    <t>DASY 8 MP83 TX2-60L(SAR 9)</t>
  </si>
  <si>
    <t>DASY 8 MP83 TX2-60L(SAR 6)</t>
  </si>
  <si>
    <t>DASY 8 MP83 TX2-60L(SAR 7)</t>
  </si>
  <si>
    <t>8491B003</t>
  </si>
  <si>
    <t>8491B010</t>
  </si>
  <si>
    <t>8491B020</t>
  </si>
  <si>
    <t>DAK-12</t>
  </si>
  <si>
    <t>CLA-6</t>
  </si>
  <si>
    <t>CLA-13</t>
  </si>
  <si>
    <t>U2004A USB Sensor</t>
  </si>
  <si>
    <t>ZMDC-30-1+</t>
  </si>
  <si>
    <t>TVA-R5-13A+</t>
  </si>
  <si>
    <t>NLP-1200+</t>
  </si>
  <si>
    <t>N9030B</t>
  </si>
  <si>
    <t>BW-S3W10+</t>
  </si>
  <si>
    <t xml:space="preserve"> MT8000A</t>
  </si>
  <si>
    <t>MT8821C</t>
  </si>
  <si>
    <t>MA2472D</t>
  </si>
  <si>
    <t>V-Coil500/3</t>
  </si>
  <si>
    <t>V-Coil50/400</t>
  </si>
  <si>
    <t>V-Coil25/6780</t>
  </si>
  <si>
    <t>V-Coil350/85</t>
  </si>
  <si>
    <t>MAGPy-H3D / MAGPy-DAS</t>
  </si>
  <si>
    <t>D8GHzV2</t>
  </si>
  <si>
    <t>VBFZ-780-S+</t>
  </si>
  <si>
    <t>VBFZ-925-S+</t>
  </si>
  <si>
    <t>VBFZ-2000-S+</t>
  </si>
  <si>
    <t>VBFZ-2340-S+</t>
  </si>
  <si>
    <t>VBFZ-3590-S+</t>
  </si>
  <si>
    <t>2250 Light</t>
  </si>
  <si>
    <t>VBFZ-5500-S+</t>
  </si>
  <si>
    <t>VBFZ-6260-S+</t>
  </si>
  <si>
    <t>E8257D</t>
  </si>
  <si>
    <t>170WX91008</t>
  </si>
  <si>
    <t>AJ.45903</t>
  </si>
  <si>
    <t>F/19/0011413/A/001</t>
  </si>
  <si>
    <t>T09</t>
  </si>
  <si>
    <t>T10</t>
  </si>
  <si>
    <t>MY57510596</t>
  </si>
  <si>
    <t>MY58290159</t>
  </si>
  <si>
    <t>F/21/0025195/A/001</t>
  </si>
  <si>
    <t>F/21/0025370/A/001</t>
  </si>
  <si>
    <t>MY61280010</t>
  </si>
  <si>
    <t>MY58120110</t>
  </si>
  <si>
    <t>MY58290152</t>
  </si>
  <si>
    <t>MY58270535</t>
  </si>
  <si>
    <t>S0240</t>
  </si>
  <si>
    <t>S0241</t>
  </si>
  <si>
    <t>S0242</t>
  </si>
  <si>
    <t>S0243</t>
  </si>
  <si>
    <t>1410025-AMP2027-10003</t>
  </si>
  <si>
    <t>N-0930</t>
  </si>
  <si>
    <t>AJ.42446</t>
  </si>
  <si>
    <t>VE2017A0283</t>
  </si>
  <si>
    <t>MY39271981</t>
  </si>
  <si>
    <t>MY39272011</t>
  </si>
  <si>
    <t>MY39271973</t>
  </si>
  <si>
    <t>MY58270439</t>
  </si>
  <si>
    <t>MY58270341</t>
  </si>
  <si>
    <t>3670-000120</t>
  </si>
  <si>
    <t>02835</t>
  </si>
  <si>
    <t>MY59100587</t>
  </si>
  <si>
    <t>MY59101083</t>
  </si>
  <si>
    <t>MY60490008</t>
  </si>
  <si>
    <t>MY61060004</t>
  </si>
  <si>
    <t>MY61010006</t>
  </si>
  <si>
    <t>S0141</t>
  </si>
  <si>
    <t>S0142</t>
  </si>
  <si>
    <t>S0143</t>
  </si>
  <si>
    <t>VUU19301915</t>
  </si>
  <si>
    <t>AK.12102</t>
  </si>
  <si>
    <t>AK.12103</t>
  </si>
  <si>
    <t>AK.12121</t>
  </si>
  <si>
    <t>AK.12123</t>
  </si>
  <si>
    <t>0050221</t>
  </si>
  <si>
    <t>0060221</t>
  </si>
  <si>
    <t>F/21/0024710/A/001</t>
  </si>
  <si>
    <t>F/21/0025222/A/001</t>
  </si>
  <si>
    <t>MY61170007</t>
  </si>
  <si>
    <t>AK.18789</t>
  </si>
  <si>
    <t>MY39272276</t>
  </si>
  <si>
    <t>MY39272275</t>
  </si>
  <si>
    <t>MY39272293</t>
  </si>
  <si>
    <t>MY39272306</t>
  </si>
  <si>
    <t>MY39272302</t>
  </si>
  <si>
    <t>MY39272300</t>
  </si>
  <si>
    <t>MY61200006</t>
  </si>
  <si>
    <t>SF569102123</t>
  </si>
  <si>
    <t>MY59150850</t>
  </si>
  <si>
    <t>MY58460570</t>
  </si>
  <si>
    <t>MY61330433</t>
  </si>
  <si>
    <t>MY58270380</t>
  </si>
  <si>
    <t>S0234</t>
  </si>
  <si>
    <t>S0235</t>
  </si>
  <si>
    <t>S0236</t>
  </si>
  <si>
    <t>S0237</t>
  </si>
  <si>
    <t>S0238</t>
  </si>
  <si>
    <t>S0239</t>
  </si>
  <si>
    <t>S0252</t>
  </si>
  <si>
    <t>S0253</t>
  </si>
  <si>
    <t>S0254</t>
  </si>
  <si>
    <t>S0255</t>
  </si>
  <si>
    <t>MY53400994</t>
  </si>
  <si>
    <t>10 kHz to 6 GHz</t>
  </si>
  <si>
    <t>10 MHz to 6 GHz</t>
  </si>
  <si>
    <t>Cut-off frequency 1.5 GHz</t>
  </si>
  <si>
    <t>Cut-off frequency 3 GHz</t>
  </si>
  <si>
    <t>Cut-off frequency 6 GHz</t>
  </si>
  <si>
    <t>2GHz to 18GHz Max 50W</t>
  </si>
  <si>
    <t>10MHz to 18GHz</t>
  </si>
  <si>
    <t>9 or 100kHz to 6.5GHz</t>
  </si>
  <si>
    <t>DC to 18GHz  2W</t>
  </si>
  <si>
    <t>10MHz~8GHz</t>
  </si>
  <si>
    <t>DC to 11 GHz</t>
  </si>
  <si>
    <t>100MHz~2GHz</t>
  </si>
  <si>
    <t>100kHz~20GHz</t>
  </si>
  <si>
    <t>500MHz~8GHz Max 50W</t>
  </si>
  <si>
    <t>9kHz~6GHz</t>
  </si>
  <si>
    <t>9kHz~13GHz</t>
  </si>
  <si>
    <t>10MHz~18GHz</t>
  </si>
  <si>
    <t>DC to 18GHz Max 5W</t>
  </si>
  <si>
    <t>DC to 6GHz</t>
  </si>
  <si>
    <t>DC to 3GHz</t>
  </si>
  <si>
    <t>DC to 1GHz</t>
  </si>
  <si>
    <t>0.5 to 18GHz MAX Power 0.5~4GHz 50W/ 4~12.4GHz 25W/ 12.4~18GHz 10W</t>
  </si>
  <si>
    <t>0.5 to 1000MHz</t>
  </si>
  <si>
    <t>2Hz to 44 GHz</t>
  </si>
  <si>
    <t>10W</t>
  </si>
  <si>
    <t>BPF 710-850 MHz</t>
  </si>
  <si>
    <t>BPF 800-1050 MHz</t>
  </si>
  <si>
    <t>BPF 1730 - 2270 MHz</t>
  </si>
  <si>
    <t>BPF 2020 - 2660 MHz</t>
  </si>
  <si>
    <t>BPF 3000 - 4300 MHz</t>
  </si>
  <si>
    <t>0.3 - 18 GHz 10dB coupling</t>
  </si>
  <si>
    <t>BPF 4900 - 6200 MHz</t>
  </si>
  <si>
    <t>BPF 5600 - 7000 MHz</t>
  </si>
  <si>
    <t>250kHz~40GHz</t>
  </si>
  <si>
    <t>2F-SAR</t>
  </si>
  <si>
    <t>3F-SAR</t>
  </si>
  <si>
    <t>O</t>
  </si>
  <si>
    <t>X</t>
  </si>
  <si>
    <t>사용</t>
  </si>
  <si>
    <t xml:space="preserve">   (SAR팀) </t>
    <phoneticPr fontId="9" type="noConversion"/>
  </si>
  <si>
    <t>시험설비 관리대장</t>
    <phoneticPr fontId="9" type="noConversion"/>
  </si>
  <si>
    <t>SUW-S0261</t>
    <phoneticPr fontId="9" type="noConversion"/>
  </si>
  <si>
    <t>VLF-1500+</t>
    <phoneticPr fontId="9" type="noConversion"/>
  </si>
  <si>
    <t>SUW-S0262</t>
    <phoneticPr fontId="9" type="noConversion"/>
  </si>
  <si>
    <t>SUW-S0263</t>
    <phoneticPr fontId="9" type="noConversion"/>
  </si>
  <si>
    <t>VLF-3000+</t>
    <phoneticPr fontId="9" type="noConversion"/>
  </si>
  <si>
    <t>SUW-S0264</t>
    <phoneticPr fontId="9" type="noConversion"/>
  </si>
  <si>
    <t>Directional Coupler</t>
    <phoneticPr fontId="9" type="noConversion"/>
  </si>
  <si>
    <t>ZUDC10-83-S+</t>
    <phoneticPr fontId="9" type="noConversion"/>
  </si>
  <si>
    <t>SUW-S0265</t>
    <phoneticPr fontId="9" type="noConversion"/>
  </si>
  <si>
    <t>SUW-S0266</t>
    <phoneticPr fontId="9" type="noConversion"/>
  </si>
  <si>
    <t>Broadband Power Amplifier</t>
    <phoneticPr fontId="9" type="noConversion"/>
  </si>
  <si>
    <t>BA00T60W2D</t>
    <phoneticPr fontId="9" type="noConversion"/>
  </si>
  <si>
    <t>S3010-0001</t>
    <phoneticPr fontId="9" type="noConversion"/>
  </si>
  <si>
    <t>2024.03.11</t>
    <phoneticPr fontId="9" type="noConversion"/>
  </si>
  <si>
    <t>2024.03.13</t>
    <phoneticPr fontId="9" type="noConversion"/>
  </si>
  <si>
    <t>2024.01.22</t>
    <phoneticPr fontId="9" type="noConversion"/>
  </si>
  <si>
    <t>2024.03.15</t>
    <phoneticPr fontId="9" type="noConversion"/>
  </si>
  <si>
    <t>SUW-S0131</t>
    <phoneticPr fontId="9" type="noConversion"/>
  </si>
  <si>
    <t>O</t>
    <phoneticPr fontId="9" type="noConversion"/>
  </si>
  <si>
    <t>X</t>
    <phoneticPr fontId="9" type="noConversion"/>
  </si>
  <si>
    <t>사용</t>
    <phoneticPr fontId="9" type="noConversion"/>
  </si>
  <si>
    <t>사용</t>
    <phoneticPr fontId="9" type="noConversion"/>
  </si>
  <si>
    <t>O</t>
    <phoneticPr fontId="9" type="noConversion"/>
  </si>
  <si>
    <t>최종 업데이트 일자 : 2024. 10. 29</t>
    <phoneticPr fontId="9" type="noConversion"/>
  </si>
  <si>
    <t>Weinschel</t>
  </si>
  <si>
    <t>SUW-S0244</t>
    <phoneticPr fontId="9" type="noConversion"/>
  </si>
  <si>
    <t>SUW-S0245</t>
  </si>
  <si>
    <t>SUW-S0246</t>
  </si>
  <si>
    <t>Resistive Power Splitter</t>
  </si>
  <si>
    <t>S0244</t>
    <phoneticPr fontId="9" type="noConversion"/>
  </si>
  <si>
    <t>S0245</t>
  </si>
  <si>
    <t>S0246</t>
  </si>
  <si>
    <t>DC - 40GHz</t>
  </si>
  <si>
    <t>SUW-S0247</t>
  </si>
  <si>
    <t>SUW-S0248</t>
  </si>
  <si>
    <t>S0247</t>
  </si>
  <si>
    <t>S0248</t>
  </si>
  <si>
    <t>소속팀</t>
    <phoneticPr fontId="9" type="noConversion"/>
  </si>
  <si>
    <t>SAR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</si>
</sst>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.mm\.dd"/>
    <numFmt numFmtId="177" formatCode="0_);[Red]\(0\)"/>
    <numFmt numFmtId="178" formatCode="yyyy\-mm\-dd"/>
  </numFmts>
  <fonts count="23" x14ac:knownFonts="1">
    <font>
      <sz val="11"/>
      <color theme="1"/>
      <name val="맑은 고딕"/>
      <family val="2"/>
      <charset val="129"/>
      <scheme val="minor"/>
    </font>
    <font>
      <b/>
      <sz val="10"/>
      <color indexed="9"/>
      <name val="Arial"/>
      <family val="2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name val="Arial"/>
      <family val="2"/>
    </font>
    <font>
      <sz val="10"/>
      <name val="맑은 고딕"/>
      <family val="3"/>
      <charset val="129"/>
    </font>
    <font>
      <b/>
      <sz val="11"/>
      <color indexed="9"/>
      <name val="Arial"/>
      <family val="2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indexed="9"/>
      <name val="돋움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맑은 고딕"/>
      <family val="2"/>
      <charset val="129"/>
    </font>
    <font>
      <b/>
      <sz val="11"/>
      <color rgb="FFFFFFFF"/>
      <name val="돋움"/>
      <family val="2"/>
      <charset val="129"/>
    </font>
    <font>
      <b/>
      <sz val="11"/>
      <color indexed="9"/>
      <name val="Arial"/>
      <family val="3"/>
      <charset val="129"/>
    </font>
    <font>
      <b/>
      <sz val="9"/>
      <color rgb="FFFFFFFF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9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  <scheme val="major"/>
    </font>
    <font>
      <sz val="11"/>
      <name val="맑은 고딕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8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right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9" fillId="0" borderId="1" xfId="2" applyFont="1" applyBorder="1" applyAlignment="1">
      <alignment horizontal="center" vertical="center"/>
    </xf>
    <xf numFmtId="176" fontId="19" fillId="0" borderId="1" xfId="2" applyNumberFormat="1" applyFont="1" applyBorder="1" applyAlignment="1">
      <alignment horizontal="center" vertical="center"/>
    </xf>
    <xf numFmtId="14" fontId="19" fillId="0" borderId="1" xfId="2" applyNumberFormat="1" applyFont="1" applyBorder="1" applyAlignment="1">
      <alignment horizontal="center" vertical="center"/>
    </xf>
    <xf numFmtId="0" fontId="19" fillId="0" borderId="1" xfId="2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/>
    </xf>
    <xf numFmtId="14" fontId="18" fillId="0" borderId="1" xfId="3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4" borderId="0" xfId="0" applyFont="1" applyFill="1">
      <alignment vertical="center"/>
    </xf>
    <xf numFmtId="0" fontId="19" fillId="0" borderId="1" xfId="3" applyFont="1" applyBorder="1" applyAlignment="1">
      <alignment horizontal="center" vertical="center"/>
    </xf>
    <xf numFmtId="14" fontId="19" fillId="0" borderId="1" xfId="3" applyNumberFormat="1" applyFont="1" applyBorder="1" applyAlignment="1">
      <alignment horizontal="center" vertical="center"/>
    </xf>
    <xf numFmtId="0" fontId="19" fillId="0" borderId="1" xfId="3" quotePrefix="1" applyFont="1" applyBorder="1" applyAlignment="1">
      <alignment horizontal="center" vertical="center" wrapText="1"/>
    </xf>
    <xf numFmtId="0" fontId="19" fillId="0" borderId="1" xfId="9" applyFont="1" applyBorder="1" applyAlignment="1">
      <alignment horizontal="center" vertical="center"/>
    </xf>
    <xf numFmtId="14" fontId="19" fillId="0" borderId="1" xfId="9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/>
    </xf>
    <xf numFmtId="17" fontId="19" fillId="0" borderId="1" xfId="9" quotePrefix="1" applyNumberFormat="1" applyFont="1" applyBorder="1" applyAlignment="1">
      <alignment horizontal="center" vertical="center"/>
    </xf>
    <xf numFmtId="14" fontId="19" fillId="0" borderId="1" xfId="2" applyNumberFormat="1" applyFont="1" applyBorder="1" applyAlignment="1">
      <alignment horizontal="center" vertical="center" wrapText="1"/>
    </xf>
    <xf numFmtId="176" fontId="19" fillId="0" borderId="1" xfId="0" applyNumberFormat="1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shrinkToFit="1"/>
    </xf>
    <xf numFmtId="177" fontId="19" fillId="0" borderId="1" xfId="0" applyNumberFormat="1" applyFont="1" applyBorder="1" applyAlignment="1">
      <alignment horizontal="center" vertical="center"/>
    </xf>
    <xf numFmtId="49" fontId="19" fillId="0" borderId="1" xfId="2" applyNumberFormat="1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wrapText="1"/>
    </xf>
    <xf numFmtId="0" fontId="19" fillId="5" borderId="3" xfId="2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5" borderId="1" xfId="2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1" xfId="0" applyFont="1" applyBorder="1" applyAlignment="1">
      <alignment horizontal="center" vertical="center" wrapText="1"/>
    </xf>
    <xf numFmtId="178" fontId="19" fillId="0" borderId="1" xfId="2" applyNumberFormat="1" applyFont="1" applyBorder="1" applyAlignment="1">
      <alignment horizontal="center" vertical="center"/>
    </xf>
    <xf numFmtId="178" fontId="19" fillId="0" borderId="1" xfId="0" quotePrefix="1" applyNumberFormat="1" applyFont="1" applyBorder="1" applyAlignment="1">
      <alignment horizontal="center" vertical="center"/>
    </xf>
    <xf numFmtId="0" fontId="18" fillId="5" borderId="1" xfId="2" applyFont="1" applyFill="1" applyBorder="1" applyAlignment="1">
      <alignment horizontal="center" vertical="center"/>
    </xf>
    <xf numFmtId="0" fontId="18" fillId="0" borderId="1" xfId="2" applyFont="1" applyBorder="1" applyAlignment="1">
      <alignment horizontal="center" vertical="center"/>
    </xf>
    <xf numFmtId="0" fontId="18" fillId="0" borderId="1" xfId="9" applyFont="1" applyBorder="1" applyAlignment="1">
      <alignment horizontal="center" vertical="center"/>
    </xf>
    <xf numFmtId="176" fontId="18" fillId="0" borderId="1" xfId="2" applyNumberFormat="1" applyFont="1" applyBorder="1" applyAlignment="1">
      <alignment horizontal="center" vertical="center"/>
    </xf>
    <xf numFmtId="14" fontId="18" fillId="0" borderId="1" xfId="9" applyNumberFormat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22" fillId="0" borderId="1" xfId="2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76" fontId="22" fillId="0" borderId="1" xfId="2" applyNumberFormat="1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wrapText="1"/>
    </xf>
    <xf numFmtId="0" fontId="22" fillId="0" borderId="0" xfId="0" applyFont="1">
      <alignment vertical="center"/>
    </xf>
    <xf numFmtId="14" fontId="22" fillId="0" borderId="1" xfId="2" applyNumberFormat="1" applyFont="1" applyBorder="1" applyAlignment="1">
      <alignment horizontal="center" vertical="center"/>
    </xf>
    <xf numFmtId="0" fontId="22" fillId="0" borderId="1" xfId="2" applyFont="1" applyBorder="1" applyAlignment="1">
      <alignment horizontal="center" vertical="center" wrapText="1"/>
    </xf>
    <xf numFmtId="0" fontId="22" fillId="6" borderId="1" xfId="2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176" fontId="22" fillId="6" borderId="1" xfId="2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 shrinkToFit="1"/>
    </xf>
    <xf numFmtId="0" fontId="22" fillId="7" borderId="0" xfId="0" applyFont="1" applyFill="1">
      <alignment vertical="center"/>
    </xf>
    <xf numFmtId="0" fontId="22" fillId="5" borderId="1" xfId="2" applyFont="1" applyFill="1" applyBorder="1" applyAlignment="1">
      <alignment horizontal="center" vertical="center"/>
    </xf>
  </cellXfs>
  <cellStyles count="15">
    <cellStyle name="표준" xfId="0" builtinId="0"/>
    <cellStyle name="표준 10" xfId="9" xr:uid="{00000000-0005-0000-0000-000001000000}"/>
    <cellStyle name="표준 11" xfId="10" xr:uid="{00000000-0005-0000-0000-000002000000}"/>
    <cellStyle name="표준 12" xfId="11" xr:uid="{00000000-0005-0000-0000-000003000000}"/>
    <cellStyle name="표준 13" xfId="12" xr:uid="{00000000-0005-0000-0000-000004000000}"/>
    <cellStyle name="표준 14" xfId="13" xr:uid="{00000000-0005-0000-0000-000005000000}"/>
    <cellStyle name="표준 15" xfId="14" xr:uid="{00000000-0005-0000-0000-000006000000}"/>
    <cellStyle name="표준 2" xfId="6" xr:uid="{00000000-0005-0000-0000-000007000000}"/>
    <cellStyle name="표준 3" xfId="1" xr:uid="{00000000-0005-0000-0000-000008000000}"/>
    <cellStyle name="표준 4" xfId="2" xr:uid="{00000000-0005-0000-0000-000009000000}"/>
    <cellStyle name="표준 5" xfId="3" xr:uid="{00000000-0005-0000-0000-00000A000000}"/>
    <cellStyle name="표준 6" xfId="4" xr:uid="{00000000-0005-0000-0000-00000B000000}"/>
    <cellStyle name="표준 7" xfId="5" xr:uid="{00000000-0005-0000-0000-00000C000000}"/>
    <cellStyle name="표준 8" xfId="7" xr:uid="{00000000-0005-0000-0000-00000D000000}"/>
    <cellStyle name="표준 9" xfId="8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53788</xdr:colOff>
      <xdr:row>0</xdr:row>
      <xdr:rowOff>53788</xdr:rowOff>
    </xdr:from>
    <xdr:to>
      <xdr:col>1</xdr:col>
      <xdr:colOff>247762</xdr:colOff>
      <xdr:row>0</xdr:row>
      <xdr:rowOff>549088</xdr:rowOff>
    </xdr:to>
    <xdr:pic>
      <xdr:nvPicPr>
        <xdr:cNvPr id="3" name="UL Solutions" descr="UL Solutions">
          <a:extLst>
            <a:ext uri="{FF2B5EF4-FFF2-40B4-BE49-F238E27FC236}">
              <a16:creationId xmlns:a16="http://schemas.microsoft.com/office/drawing/2014/main" id="{06761323-F8CE-6FB8-700B-269216C6F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53788" y="53788"/>
          <a:ext cx="1224915" cy="502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8"/>
  <sheetViews>
    <sheetView showGridLines="0" tabSelected="1" view="pageBreakPreview" topLeftCell="F1" zoomScaleNormal="100" zoomScaleSheetLayoutView="100" workbookViewId="0">
      <pane ySplit="2" topLeftCell="A3" activePane="bottomLeft" state="frozen"/>
      <selection pane="bottomLeft" activeCell="Q9" sqref="Q9"/>
    </sheetView>
  </sheetViews>
  <sheetFormatPr defaultColWidth="8.8984375" defaultRowHeight="20.25" customHeight="1" x14ac:dyDescent="0.4"/>
  <cols>
    <col min="1" max="1" width="13.3984375" style="19" bestFit="1" customWidth="1"/>
    <col min="2" max="2" width="16.8984375" style="19" customWidth="1"/>
    <col min="3" max="4" width="41.8984375" style="19" customWidth="1"/>
    <col min="5" max="5" width="25.59765625" style="19" bestFit="1" customWidth="1"/>
    <col min="6" max="6" width="14.09765625" style="19" customWidth="1"/>
    <col min="7" max="7" width="9.09765625" style="19" bestFit="1" customWidth="1"/>
    <col min="8" max="8" width="10.59765625" style="19" customWidth="1"/>
    <col min="9" max="9" width="13.8984375" style="19" customWidth="1"/>
    <col min="10" max="10" width="28.19921875" style="19" customWidth="1"/>
    <col min="11" max="11" width="9.8984375" style="19" customWidth="1"/>
    <col min="12" max="12" width="25.8984375" style="19" bestFit="1" customWidth="1"/>
    <col min="13" max="13" width="28.59765625" style="19" customWidth="1"/>
    <col min="14" max="14" width="27.3984375" style="19" customWidth="1"/>
    <col min="15" max="15" width="7.59765625" style="19" customWidth="1"/>
    <col min="16" max="16" width="14.59765625" style="19" bestFit="1" customWidth="1"/>
    <col min="17" max="17" width="25" style="19" customWidth="1"/>
    <col min="18" max="16384" width="8.8984375" style="18"/>
  </cols>
  <sheetData>
    <row r="1" spans="1:18" customFormat="1" ht="48" customHeight="1" thickBot="1" x14ac:dyDescent="0.45">
      <c r="A1" s="16" t="s">
        <v>216</v>
      </c>
      <c r="B1" s="16" t="s">
        <v>747</v>
      </c>
      <c r="C1" s="16" t="s">
        <v>748</v>
      </c>
      <c r="D1" s="16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7" t="s">
        <v>772</v>
      </c>
    </row>
    <row r="2" spans="1:18" s="1" customFormat="1" ht="30.6" customHeight="1" x14ac:dyDescent="0.4">
      <c r="A2" s="44" t="s">
        <v>208</v>
      </c>
      <c r="B2" s="45" t="s">
        <v>213</v>
      </c>
      <c r="C2" s="46" t="s">
        <v>181</v>
      </c>
      <c r="D2" s="50" t="s">
        <v>786</v>
      </c>
      <c r="E2" s="47" t="s">
        <v>214</v>
      </c>
      <c r="F2" s="48" t="s">
        <v>211</v>
      </c>
      <c r="G2" s="46" t="s">
        <v>207</v>
      </c>
      <c r="H2" s="49" t="s">
        <v>210</v>
      </c>
      <c r="I2" s="46" t="s">
        <v>189</v>
      </c>
      <c r="J2" s="46" t="s">
        <v>182</v>
      </c>
      <c r="K2" s="50" t="s">
        <v>209</v>
      </c>
      <c r="L2" s="46" t="s">
        <v>183</v>
      </c>
      <c r="M2" s="46" t="s">
        <v>184</v>
      </c>
      <c r="N2" s="46" t="s">
        <v>190</v>
      </c>
      <c r="O2" s="46" t="s">
        <v>204</v>
      </c>
      <c r="P2" s="47" t="s">
        <v>212</v>
      </c>
      <c r="Q2" s="51" t="s">
        <v>215</v>
      </c>
    </row>
    <row r="3" spans="1:18" ht="17.399999999999999" customHeight="1" x14ac:dyDescent="0.4">
      <c r="A3" s="52" t="s">
        <v>35</v>
      </c>
      <c r="B3" s="20" t="s">
        <v>321</v>
      </c>
      <c r="C3" s="20" t="s">
        <v>22</v>
      </c>
      <c r="D3" s="20" t="s">
        <v>787</v>
      </c>
      <c r="E3" s="20" t="s">
        <v>217</v>
      </c>
      <c r="F3" s="21">
        <v>45495</v>
      </c>
      <c r="G3" s="22" t="s">
        <v>1</v>
      </c>
      <c r="H3" s="20">
        <v>12</v>
      </c>
      <c r="I3" s="21" cm="1">
        <f t="array" ref="I3">_xlfn.IFS(NOT(OR($H3=12, $H3=24)), "-", $H3=12, (DATE(YEAR($F3)+1, MONTH($F3), DAY($F3))), $H3=24, (DATE(YEAR($F3)+2, MONTH($F3), DAY($F3))))</f>
        <v>45860</v>
      </c>
      <c r="J3" s="20" t="s">
        <v>0</v>
      </c>
      <c r="K3" s="20">
        <v>2014</v>
      </c>
      <c r="L3" s="20" t="s">
        <v>33</v>
      </c>
      <c r="M3" s="20" t="s">
        <v>34</v>
      </c>
      <c r="N3" s="23" t="s">
        <v>708</v>
      </c>
      <c r="O3" s="24" t="s">
        <v>742</v>
      </c>
      <c r="P3" s="24" t="s">
        <v>744</v>
      </c>
      <c r="Q3" s="53" t="s">
        <v>746</v>
      </c>
    </row>
    <row r="4" spans="1:18" ht="17.399999999999999" customHeight="1" x14ac:dyDescent="0.4">
      <c r="A4" s="52" t="s">
        <v>100</v>
      </c>
      <c r="B4" s="20" t="s">
        <v>322</v>
      </c>
      <c r="C4" s="20" t="s">
        <v>96</v>
      </c>
      <c r="D4" s="20" t="s">
        <v>787</v>
      </c>
      <c r="E4" s="20" t="s">
        <v>217</v>
      </c>
      <c r="F4" s="21">
        <v>45336</v>
      </c>
      <c r="G4" s="22" t="s">
        <v>1</v>
      </c>
      <c r="H4" s="20">
        <v>12</v>
      </c>
      <c r="I4" s="21" cm="1">
        <f t="array" ref="I4">_xlfn.IFS(NOT(OR($H4=12, $H4=24)), "-", $H4=12, (DATE(YEAR($F4)+1, MONTH($F4), DAY($F4))), $H4=24, (DATE(YEAR($F4)+2, MONTH($F4), DAY($F4))))</f>
        <v>45702</v>
      </c>
      <c r="J4" s="20" t="s">
        <v>97</v>
      </c>
      <c r="K4" s="20">
        <v>2014</v>
      </c>
      <c r="L4" s="20" t="s">
        <v>98</v>
      </c>
      <c r="M4" s="20" t="s">
        <v>655</v>
      </c>
      <c r="N4" s="20" t="s">
        <v>709</v>
      </c>
      <c r="O4" s="24" t="s">
        <v>742</v>
      </c>
      <c r="P4" s="24" t="s">
        <v>744</v>
      </c>
      <c r="Q4" s="53" t="s">
        <v>746</v>
      </c>
    </row>
    <row r="5" spans="1:18" ht="17.399999999999999" customHeight="1" x14ac:dyDescent="0.4">
      <c r="A5" s="52" t="s">
        <v>144</v>
      </c>
      <c r="B5" s="20" t="s">
        <v>322</v>
      </c>
      <c r="C5" s="20" t="s">
        <v>59</v>
      </c>
      <c r="D5" s="20" t="s">
        <v>787</v>
      </c>
      <c r="E5" s="20" t="s">
        <v>217</v>
      </c>
      <c r="F5" s="21">
        <v>45497</v>
      </c>
      <c r="G5" s="22" t="s">
        <v>1</v>
      </c>
      <c r="H5" s="20">
        <v>12</v>
      </c>
      <c r="I5" s="21" cm="1">
        <f t="array" ref="I5">_xlfn.IFS(NOT(OR($H5=12, $H5=24)), "-", $H5=12, (DATE(YEAR($F5)+1, MONTH($F5), DAY($F5))), $H5=24, (DATE(YEAR($F5)+2, MONTH($F5), DAY($F5))))</f>
        <v>45862</v>
      </c>
      <c r="J5" s="20" t="s">
        <v>110</v>
      </c>
      <c r="K5" s="20">
        <v>2014</v>
      </c>
      <c r="L5" s="20" t="s">
        <v>532</v>
      </c>
      <c r="M5" s="20">
        <v>3943</v>
      </c>
      <c r="N5" s="20" t="s">
        <v>710</v>
      </c>
      <c r="O5" s="24" t="s">
        <v>742</v>
      </c>
      <c r="P5" s="24" t="s">
        <v>744</v>
      </c>
      <c r="Q5" s="53" t="s">
        <v>746</v>
      </c>
      <c r="R5" s="29"/>
    </row>
    <row r="6" spans="1:18" ht="17.399999999999999" customHeight="1" x14ac:dyDescent="0.4">
      <c r="A6" s="52" t="s">
        <v>63</v>
      </c>
      <c r="B6" s="20" t="s">
        <v>322</v>
      </c>
      <c r="C6" s="30" t="s">
        <v>59</v>
      </c>
      <c r="D6" s="20" t="s">
        <v>787</v>
      </c>
      <c r="E6" s="30" t="s">
        <v>217</v>
      </c>
      <c r="F6" s="21">
        <v>45497</v>
      </c>
      <c r="G6" s="31" t="s">
        <v>1</v>
      </c>
      <c r="H6" s="30">
        <v>12</v>
      </c>
      <c r="I6" s="21" cm="1">
        <f t="array" ref="I6">_xlfn.IFS(NOT(OR($H6=12, $H6=24)), "-", $H6=12, (DATE(YEAR($F6)+1, MONTH($F6), DAY($F6))), $H6=24, (DATE(YEAR($F6)+2, MONTH($F6), DAY($F6))))</f>
        <v>45862</v>
      </c>
      <c r="J6" s="30" t="s">
        <v>60</v>
      </c>
      <c r="K6" s="20">
        <v>2014</v>
      </c>
      <c r="L6" s="30" t="s">
        <v>567</v>
      </c>
      <c r="M6" s="30" t="s">
        <v>62</v>
      </c>
      <c r="N6" s="30" t="s">
        <v>711</v>
      </c>
      <c r="O6" s="24" t="s">
        <v>742</v>
      </c>
      <c r="P6" s="24" t="s">
        <v>744</v>
      </c>
      <c r="Q6" s="53" t="s">
        <v>746</v>
      </c>
    </row>
    <row r="7" spans="1:18" ht="17.399999999999999" customHeight="1" x14ac:dyDescent="0.4">
      <c r="A7" s="52" t="s">
        <v>113</v>
      </c>
      <c r="B7" s="20" t="s">
        <v>322</v>
      </c>
      <c r="C7" s="30" t="s">
        <v>59</v>
      </c>
      <c r="D7" s="20" t="s">
        <v>787</v>
      </c>
      <c r="E7" s="30" t="s">
        <v>217</v>
      </c>
      <c r="F7" s="21">
        <v>45497</v>
      </c>
      <c r="G7" s="31" t="s">
        <v>1</v>
      </c>
      <c r="H7" s="30">
        <v>12</v>
      </c>
      <c r="I7" s="21" cm="1">
        <f t="array" ref="I7">_xlfn.IFS(NOT(OR($H7=12, $H7=24)), "-", $H7=12, (DATE(YEAR($F7)+1, MONTH($F7), DAY($F7))), $H7=24, (DATE(YEAR($F7)+2, MONTH($F7), DAY($F7))))</f>
        <v>45862</v>
      </c>
      <c r="J7" s="30" t="s">
        <v>110</v>
      </c>
      <c r="K7" s="20">
        <v>2014</v>
      </c>
      <c r="L7" s="30" t="s">
        <v>533</v>
      </c>
      <c r="M7" s="30">
        <v>3942</v>
      </c>
      <c r="N7" s="32" t="s">
        <v>712</v>
      </c>
      <c r="O7" s="24" t="s">
        <v>742</v>
      </c>
      <c r="P7" s="24" t="s">
        <v>744</v>
      </c>
      <c r="Q7" s="53" t="s">
        <v>746</v>
      </c>
    </row>
    <row r="8" spans="1:18" ht="17.399999999999999" customHeight="1" x14ac:dyDescent="0.4">
      <c r="A8" s="52" t="s">
        <v>70</v>
      </c>
      <c r="B8" s="20" t="s">
        <v>218</v>
      </c>
      <c r="C8" s="33" t="s">
        <v>4</v>
      </c>
      <c r="D8" s="20" t="s">
        <v>787</v>
      </c>
      <c r="E8" s="33" t="s">
        <v>217</v>
      </c>
      <c r="F8" s="21">
        <v>45498</v>
      </c>
      <c r="G8" s="34" t="s">
        <v>1</v>
      </c>
      <c r="H8" s="33">
        <v>12</v>
      </c>
      <c r="I8" s="21" cm="1">
        <f t="array" ref="I8">_xlfn.IFS(NOT(OR($H8=12, $H8=24)), "-", $H8=12, (DATE(YEAR($F8)+1, MONTH($F8), DAY($F8))), $H8=24, (DATE(YEAR($F8)+2, MONTH($F8), DAY($F8))))</f>
        <v>45863</v>
      </c>
      <c r="J8" s="36" t="s">
        <v>0</v>
      </c>
      <c r="K8" s="20">
        <v>2014</v>
      </c>
      <c r="L8" s="33" t="s">
        <v>68</v>
      </c>
      <c r="M8" s="33" t="s">
        <v>69</v>
      </c>
      <c r="N8" s="35" t="s">
        <v>713</v>
      </c>
      <c r="O8" s="24" t="s">
        <v>742</v>
      </c>
      <c r="P8" s="24" t="s">
        <v>744</v>
      </c>
      <c r="Q8" s="53" t="s">
        <v>746</v>
      </c>
    </row>
    <row r="9" spans="1:18" ht="17.399999999999999" customHeight="1" x14ac:dyDescent="0.4">
      <c r="A9" s="52" t="s">
        <v>73</v>
      </c>
      <c r="B9" s="20" t="s">
        <v>219</v>
      </c>
      <c r="C9" s="33" t="s">
        <v>220</v>
      </c>
      <c r="D9" s="20" t="s">
        <v>787</v>
      </c>
      <c r="E9" s="33" t="s">
        <v>217</v>
      </c>
      <c r="F9" s="21">
        <v>45497</v>
      </c>
      <c r="G9" s="34" t="s">
        <v>1</v>
      </c>
      <c r="H9" s="33">
        <v>12</v>
      </c>
      <c r="I9" s="21" cm="1">
        <f t="array" ref="I9">_xlfn.IFS(NOT(OR($H9=12, $H9=24)), "-", $H9=12, (DATE(YEAR($F9)+1, MONTH($F9), DAY($F9))), $H9=24, (DATE(YEAR($F9)+2, MONTH($F9), DAY($F9))))</f>
        <v>45862</v>
      </c>
      <c r="J9" s="36" t="s">
        <v>66</v>
      </c>
      <c r="K9" s="20">
        <v>2014</v>
      </c>
      <c r="L9" s="33" t="s">
        <v>67</v>
      </c>
      <c r="M9" s="33">
        <v>150313</v>
      </c>
      <c r="N9" s="35"/>
      <c r="O9" s="24" t="s">
        <v>742</v>
      </c>
      <c r="P9" s="24" t="s">
        <v>768</v>
      </c>
      <c r="Q9" s="53" t="s">
        <v>746</v>
      </c>
    </row>
    <row r="10" spans="1:18" ht="17.399999999999999" customHeight="1" x14ac:dyDescent="0.4">
      <c r="A10" s="52" t="s">
        <v>95</v>
      </c>
      <c r="B10" s="20" t="s">
        <v>221</v>
      </c>
      <c r="C10" s="33" t="s">
        <v>220</v>
      </c>
      <c r="D10" s="20" t="s">
        <v>787</v>
      </c>
      <c r="E10" s="33" t="s">
        <v>217</v>
      </c>
      <c r="F10" s="21">
        <v>45497</v>
      </c>
      <c r="G10" s="34" t="s">
        <v>1</v>
      </c>
      <c r="H10" s="33">
        <v>12</v>
      </c>
      <c r="I10" s="21" cm="1">
        <f t="array" ref="I10">_xlfn.IFS(NOT(OR($H10=12, $H10=24)), "-", $H10=12, (DATE(YEAR($F10)+1, MONTH($F10), DAY($F10))), $H10=24, (DATE(YEAR($F10)+2, MONTH($F10), DAY($F10))))</f>
        <v>45862</v>
      </c>
      <c r="J10" s="36" t="s">
        <v>66</v>
      </c>
      <c r="K10" s="20">
        <v>2014</v>
      </c>
      <c r="L10" s="33" t="s">
        <v>67</v>
      </c>
      <c r="M10" s="33">
        <v>150314</v>
      </c>
      <c r="N10" s="35"/>
      <c r="O10" s="24" t="s">
        <v>742</v>
      </c>
      <c r="P10" s="24" t="s">
        <v>768</v>
      </c>
      <c r="Q10" s="53" t="s">
        <v>746</v>
      </c>
    </row>
    <row r="11" spans="1:18" ht="17.399999999999999" customHeight="1" x14ac:dyDescent="0.4">
      <c r="A11" s="52" t="s">
        <v>88</v>
      </c>
      <c r="B11" s="20" t="s">
        <v>323</v>
      </c>
      <c r="C11" s="33" t="s">
        <v>85</v>
      </c>
      <c r="D11" s="20" t="s">
        <v>787</v>
      </c>
      <c r="E11" s="33" t="s">
        <v>217</v>
      </c>
      <c r="F11" s="21">
        <v>45498</v>
      </c>
      <c r="G11" s="34" t="s">
        <v>1</v>
      </c>
      <c r="H11" s="33">
        <v>12</v>
      </c>
      <c r="I11" s="21" cm="1">
        <f t="array" ref="I11">_xlfn.IFS(NOT(OR($H11=12, $H11=24)), "-", $H11=12, (DATE(YEAR($F11)+1, MONTH($F11), DAY($F11))), $H11=24, (DATE(YEAR($F11)+2, MONTH($F11), DAY($F11))))</f>
        <v>45863</v>
      </c>
      <c r="J11" s="33" t="s">
        <v>0</v>
      </c>
      <c r="K11" s="20">
        <v>2014</v>
      </c>
      <c r="L11" s="33" t="s">
        <v>534</v>
      </c>
      <c r="M11" s="33" t="s">
        <v>87</v>
      </c>
      <c r="N11" s="35" t="s">
        <v>714</v>
      </c>
      <c r="O11" s="24" t="s">
        <v>742</v>
      </c>
      <c r="P11" s="24" t="s">
        <v>744</v>
      </c>
      <c r="Q11" s="53" t="s">
        <v>746</v>
      </c>
    </row>
    <row r="12" spans="1:18" ht="17.399999999999999" customHeight="1" x14ac:dyDescent="0.4">
      <c r="A12" s="52" t="s">
        <v>45</v>
      </c>
      <c r="B12" s="20" t="s">
        <v>324</v>
      </c>
      <c r="C12" s="33" t="s">
        <v>8</v>
      </c>
      <c r="D12" s="20" t="s">
        <v>787</v>
      </c>
      <c r="E12" s="33" t="s">
        <v>217</v>
      </c>
      <c r="F12" s="21">
        <v>45344</v>
      </c>
      <c r="G12" s="34" t="s">
        <v>12</v>
      </c>
      <c r="H12" s="33">
        <v>24</v>
      </c>
      <c r="I12" s="21" cm="1">
        <f t="array" ref="I12">_xlfn.IFS(NOT(OR($H12=12, $H12=24)), "-", $H12=12, (DATE(YEAR($F12)+1, MONTH($F12), DAY($F12))), $H12=24, (DATE(YEAR($F12)+2, MONTH($F12), DAY($F12))))</f>
        <v>46075</v>
      </c>
      <c r="J12" s="33" t="s">
        <v>12</v>
      </c>
      <c r="K12" s="20">
        <v>2014</v>
      </c>
      <c r="L12" s="33" t="s">
        <v>43</v>
      </c>
      <c r="M12" s="33">
        <v>1122</v>
      </c>
      <c r="N12" s="35"/>
      <c r="O12" s="24" t="s">
        <v>742</v>
      </c>
      <c r="P12" s="24" t="s">
        <v>744</v>
      </c>
      <c r="Q12" s="53" t="s">
        <v>746</v>
      </c>
    </row>
    <row r="13" spans="1:18" ht="17.399999999999999" customHeight="1" x14ac:dyDescent="0.4">
      <c r="A13" s="52" t="s">
        <v>104</v>
      </c>
      <c r="B13" s="20" t="s">
        <v>325</v>
      </c>
      <c r="C13" s="33" t="s">
        <v>8</v>
      </c>
      <c r="D13" s="20" t="s">
        <v>787</v>
      </c>
      <c r="E13" s="33" t="s">
        <v>217</v>
      </c>
      <c r="F13" s="21">
        <v>45551</v>
      </c>
      <c r="G13" s="34" t="s">
        <v>12</v>
      </c>
      <c r="H13" s="33">
        <v>24</v>
      </c>
      <c r="I13" s="21" cm="1">
        <f t="array" ref="I13">_xlfn.IFS(NOT(OR($H13=12, $H13=24)), "-", $H13=12, (DATE(YEAR($F13)+1, MONTH($F13), DAY($F13))), $H13=24, (DATE(YEAR($F13)+2, MONTH($F13), DAY($F13))))</f>
        <v>46281</v>
      </c>
      <c r="J13" s="33" t="s">
        <v>12</v>
      </c>
      <c r="K13" s="20">
        <v>2014</v>
      </c>
      <c r="L13" s="33" t="s">
        <v>102</v>
      </c>
      <c r="M13" s="33" t="s">
        <v>103</v>
      </c>
      <c r="N13" s="35"/>
      <c r="O13" s="24" t="s">
        <v>742</v>
      </c>
      <c r="P13" s="24" t="s">
        <v>744</v>
      </c>
      <c r="Q13" s="53" t="s">
        <v>746</v>
      </c>
    </row>
    <row r="14" spans="1:18" ht="17.399999999999999" customHeight="1" x14ac:dyDescent="0.4">
      <c r="A14" s="52" t="s">
        <v>26</v>
      </c>
      <c r="B14" s="20" t="s">
        <v>324</v>
      </c>
      <c r="C14" s="33" t="s">
        <v>8</v>
      </c>
      <c r="D14" s="20" t="s">
        <v>787</v>
      </c>
      <c r="E14" s="33" t="s">
        <v>217</v>
      </c>
      <c r="F14" s="21">
        <v>44895</v>
      </c>
      <c r="G14" s="34" t="s">
        <v>12</v>
      </c>
      <c r="H14" s="33">
        <v>24</v>
      </c>
      <c r="I14" s="21" cm="1">
        <f t="array" ref="I14">_xlfn.IFS(NOT(OR($H14=12, $H14=24)), "-", $H14=12, (DATE(YEAR($F14)+1, MONTH($F14), DAY($F14))), $H14=24, (DATE(YEAR($F14)+2, MONTH($F14), DAY($F14))))</f>
        <v>45626</v>
      </c>
      <c r="J14" s="33" t="s">
        <v>12</v>
      </c>
      <c r="K14" s="20">
        <v>2014</v>
      </c>
      <c r="L14" s="33" t="s">
        <v>24</v>
      </c>
      <c r="M14" s="33">
        <v>1125</v>
      </c>
      <c r="N14" s="35"/>
      <c r="O14" s="24" t="s">
        <v>742</v>
      </c>
      <c r="P14" s="24" t="s">
        <v>744</v>
      </c>
      <c r="Q14" s="53" t="s">
        <v>746</v>
      </c>
    </row>
    <row r="15" spans="1:18" ht="17.399999999999999" customHeight="1" x14ac:dyDescent="0.4">
      <c r="A15" s="52" t="s">
        <v>122</v>
      </c>
      <c r="B15" s="20" t="s">
        <v>325</v>
      </c>
      <c r="C15" s="20" t="s">
        <v>8</v>
      </c>
      <c r="D15" s="20" t="s">
        <v>787</v>
      </c>
      <c r="E15" s="20" t="s">
        <v>217</v>
      </c>
      <c r="F15" s="21">
        <v>44881</v>
      </c>
      <c r="G15" s="38" t="s">
        <v>12</v>
      </c>
      <c r="H15" s="20">
        <v>24</v>
      </c>
      <c r="I15" s="21" cm="1">
        <f t="array" ref="I15">_xlfn.IFS(NOT(OR($H15=12, $H15=24)), "-", $H15=12, (DATE(YEAR($F15)+1, MONTH($F15), DAY($F15))), $H15=24, (DATE(YEAR($F15)+2, MONTH($F15), DAY($F15))))</f>
        <v>45612</v>
      </c>
      <c r="J15" s="20" t="s">
        <v>12</v>
      </c>
      <c r="K15" s="20">
        <v>2014</v>
      </c>
      <c r="L15" s="20" t="s">
        <v>120</v>
      </c>
      <c r="M15" s="20" t="s">
        <v>121</v>
      </c>
      <c r="N15" s="23"/>
      <c r="O15" s="24" t="s">
        <v>742</v>
      </c>
      <c r="P15" s="24" t="s">
        <v>744</v>
      </c>
      <c r="Q15" s="53" t="s">
        <v>746</v>
      </c>
    </row>
    <row r="16" spans="1:18" ht="17.399999999999999" customHeight="1" x14ac:dyDescent="0.4">
      <c r="A16" s="52" t="s">
        <v>15</v>
      </c>
      <c r="B16" s="20" t="s">
        <v>325</v>
      </c>
      <c r="C16" s="20" t="s">
        <v>8</v>
      </c>
      <c r="D16" s="20" t="s">
        <v>787</v>
      </c>
      <c r="E16" s="20" t="s">
        <v>217</v>
      </c>
      <c r="F16" s="21">
        <v>45520</v>
      </c>
      <c r="G16" s="38" t="s">
        <v>12</v>
      </c>
      <c r="H16" s="20">
        <v>24</v>
      </c>
      <c r="I16" s="21" cm="1">
        <f t="array" ref="I16">_xlfn.IFS(NOT(OR($H16=12, $H16=24)), "-", $H16=12, (DATE(YEAR($F16)+1, MONTH($F16), DAY($F16))), $H16=24, (DATE(YEAR($F16)+2, MONTH($F16), DAY($F16))))</f>
        <v>46250</v>
      </c>
      <c r="J16" s="20" t="s">
        <v>12</v>
      </c>
      <c r="K16" s="20">
        <v>2014</v>
      </c>
      <c r="L16" s="20" t="s">
        <v>13</v>
      </c>
      <c r="M16" s="20">
        <v>1037</v>
      </c>
      <c r="N16" s="20"/>
      <c r="O16" s="24" t="s">
        <v>742</v>
      </c>
      <c r="P16" s="24" t="s">
        <v>744</v>
      </c>
      <c r="Q16" s="53" t="s">
        <v>746</v>
      </c>
    </row>
    <row r="17" spans="1:17" ht="17.399999999999999" customHeight="1" x14ac:dyDescent="0.4">
      <c r="A17" s="52" t="s">
        <v>117</v>
      </c>
      <c r="B17" s="20" t="s">
        <v>324</v>
      </c>
      <c r="C17" s="20" t="s">
        <v>8</v>
      </c>
      <c r="D17" s="20" t="s">
        <v>787</v>
      </c>
      <c r="E17" s="20" t="s">
        <v>217</v>
      </c>
      <c r="F17" s="21">
        <v>45483</v>
      </c>
      <c r="G17" s="38" t="s">
        <v>12</v>
      </c>
      <c r="H17" s="20">
        <v>24</v>
      </c>
      <c r="I17" s="21" cm="1">
        <f t="array" ref="I17">_xlfn.IFS(NOT(OR($H17=12, $H17=24)), "-", $H17=12, (DATE(YEAR($F17)+1, MONTH($F17), DAY($F17))), $H17=24, (DATE(YEAR($F17)+2, MONTH($F17), DAY($F17))))</f>
        <v>46213</v>
      </c>
      <c r="J17" s="20" t="s">
        <v>12</v>
      </c>
      <c r="K17" s="20">
        <v>2014</v>
      </c>
      <c r="L17" s="20" t="s">
        <v>115</v>
      </c>
      <c r="M17" s="20">
        <v>939</v>
      </c>
      <c r="N17" s="20"/>
      <c r="O17" s="24" t="s">
        <v>742</v>
      </c>
      <c r="P17" s="24" t="s">
        <v>744</v>
      </c>
      <c r="Q17" s="53" t="s">
        <v>746</v>
      </c>
    </row>
    <row r="18" spans="1:17" ht="17.399999999999999" customHeight="1" x14ac:dyDescent="0.4">
      <c r="A18" s="52" t="s">
        <v>49</v>
      </c>
      <c r="B18" s="20" t="s">
        <v>324</v>
      </c>
      <c r="C18" s="20" t="s">
        <v>8</v>
      </c>
      <c r="D18" s="20" t="s">
        <v>787</v>
      </c>
      <c r="E18" s="20" t="s">
        <v>217</v>
      </c>
      <c r="F18" s="21">
        <v>44888</v>
      </c>
      <c r="G18" s="22" t="s">
        <v>12</v>
      </c>
      <c r="H18" s="20">
        <v>24</v>
      </c>
      <c r="I18" s="21" cm="1">
        <f t="array" ref="I18">_xlfn.IFS(NOT(OR($H18=12, $H18=24)), "-", $H18=12, (DATE(YEAR($F18)+1, MONTH($F18), DAY($F18))), $H18=24, (DATE(YEAR($F18)+2, MONTH($F18), DAY($F18))))</f>
        <v>45619</v>
      </c>
      <c r="J18" s="20" t="s">
        <v>12</v>
      </c>
      <c r="K18" s="20">
        <v>2014</v>
      </c>
      <c r="L18" s="20" t="s">
        <v>47</v>
      </c>
      <c r="M18" s="20">
        <v>1184</v>
      </c>
      <c r="N18" s="23"/>
      <c r="O18" s="24" t="s">
        <v>742</v>
      </c>
      <c r="P18" s="24" t="s">
        <v>744</v>
      </c>
      <c r="Q18" s="53" t="s">
        <v>746</v>
      </c>
    </row>
    <row r="19" spans="1:17" ht="17.399999999999999" customHeight="1" x14ac:dyDescent="0.4">
      <c r="A19" s="52" t="s">
        <v>139</v>
      </c>
      <c r="B19" s="20" t="s">
        <v>326</v>
      </c>
      <c r="C19" s="20" t="s">
        <v>136</v>
      </c>
      <c r="D19" s="20" t="s">
        <v>787</v>
      </c>
      <c r="E19" s="20" t="s">
        <v>217</v>
      </c>
      <c r="F19" s="21">
        <v>45497</v>
      </c>
      <c r="G19" s="22" t="s">
        <v>1</v>
      </c>
      <c r="H19" s="20">
        <v>12</v>
      </c>
      <c r="I19" s="21" cm="1">
        <f t="array" ref="I19">_xlfn.IFS(NOT(OR($H19=12, $H19=24)), "-", $H19=12, (DATE(YEAR($F19)+1, MONTH($F19), DAY($F19))), $H19=24, (DATE(YEAR($F19)+2, MONTH($F19), DAY($F19))))</f>
        <v>45862</v>
      </c>
      <c r="J19" s="20" t="s">
        <v>0</v>
      </c>
      <c r="K19" s="20">
        <v>2014</v>
      </c>
      <c r="L19" s="20" t="s">
        <v>137</v>
      </c>
      <c r="M19" s="20" t="s">
        <v>138</v>
      </c>
      <c r="N19" s="23" t="s">
        <v>715</v>
      </c>
      <c r="O19" s="24" t="s">
        <v>742</v>
      </c>
      <c r="P19" s="24" t="s">
        <v>744</v>
      </c>
      <c r="Q19" s="53" t="s">
        <v>746</v>
      </c>
    </row>
    <row r="20" spans="1:17" ht="17.399999999999999" customHeight="1" x14ac:dyDescent="0.4">
      <c r="A20" s="52" t="s">
        <v>109</v>
      </c>
      <c r="B20" s="20" t="s">
        <v>327</v>
      </c>
      <c r="C20" s="20" t="s">
        <v>106</v>
      </c>
      <c r="D20" s="20" t="s">
        <v>787</v>
      </c>
      <c r="E20" s="20" t="s">
        <v>217</v>
      </c>
      <c r="F20" s="21">
        <v>45453</v>
      </c>
      <c r="G20" s="22" t="s">
        <v>12</v>
      </c>
      <c r="H20" s="20">
        <v>12</v>
      </c>
      <c r="I20" s="21" cm="1">
        <f t="array" ref="I20">_xlfn.IFS(NOT(OR($H20=12, $H20=24)), "-", $H20=12, (DATE(YEAR($F20)+1, MONTH($F20), DAY($F20))), $H20=24, (DATE(YEAR($F20)+2, MONTH($F20), DAY($F20))))</f>
        <v>45818</v>
      </c>
      <c r="J20" s="20" t="s">
        <v>12</v>
      </c>
      <c r="K20" s="20">
        <v>2014</v>
      </c>
      <c r="L20" s="20" t="s">
        <v>107</v>
      </c>
      <c r="M20" s="20">
        <v>1196</v>
      </c>
      <c r="N20" s="23"/>
      <c r="O20" s="24" t="s">
        <v>742</v>
      </c>
      <c r="P20" s="24" t="s">
        <v>744</v>
      </c>
      <c r="Q20" s="53" t="s">
        <v>746</v>
      </c>
    </row>
    <row r="21" spans="1:17" ht="17.399999999999999" customHeight="1" x14ac:dyDescent="0.4">
      <c r="A21" s="52" t="s">
        <v>3</v>
      </c>
      <c r="B21" s="20" t="s">
        <v>328</v>
      </c>
      <c r="C21" s="30" t="s">
        <v>485</v>
      </c>
      <c r="D21" s="20" t="s">
        <v>787</v>
      </c>
      <c r="E21" s="30" t="s">
        <v>522</v>
      </c>
      <c r="F21" s="21" t="s">
        <v>320</v>
      </c>
      <c r="G21" s="31" t="s">
        <v>320</v>
      </c>
      <c r="H21" s="30" t="s">
        <v>320</v>
      </c>
      <c r="I21" s="21" t="str" cm="1">
        <f t="array" ref="I21">_xlfn.IFS(NOT(OR($H21=12, $H21=24)), "-", $H21=12, (DATE(YEAR($F21)+1, MONTH($F21), DAY($F21))), $H21=24, (DATE(YEAR($F21)+2, MONTH($F21), DAY($F21))))</f>
        <v>-</v>
      </c>
      <c r="J21" s="30" t="s">
        <v>12</v>
      </c>
      <c r="K21" s="20">
        <v>2014</v>
      </c>
      <c r="L21" s="30" t="s">
        <v>568</v>
      </c>
      <c r="M21" s="30" t="s">
        <v>320</v>
      </c>
      <c r="N21" s="30"/>
      <c r="O21" s="24" t="s">
        <v>742</v>
      </c>
      <c r="P21" s="24" t="s">
        <v>745</v>
      </c>
      <c r="Q21" s="53" t="s">
        <v>746</v>
      </c>
    </row>
    <row r="22" spans="1:17" ht="17.399999999999999" customHeight="1" x14ac:dyDescent="0.4">
      <c r="A22" s="52" t="s">
        <v>74</v>
      </c>
      <c r="B22" s="20" t="s">
        <v>329</v>
      </c>
      <c r="C22" s="24" t="s">
        <v>486</v>
      </c>
      <c r="D22" s="20" t="s">
        <v>787</v>
      </c>
      <c r="E22" s="24" t="s">
        <v>522</v>
      </c>
      <c r="F22" s="21" t="s">
        <v>320</v>
      </c>
      <c r="G22" s="40" t="s">
        <v>320</v>
      </c>
      <c r="H22" s="24" t="s">
        <v>320</v>
      </c>
      <c r="I22" s="21" t="str" cm="1">
        <f t="array" ref="I22">_xlfn.IFS(NOT(OR($H22=12, $H22=24)), "-", $H22=12, (DATE(YEAR($F22)+1, MONTH($F22), DAY($F22))), $H22=24, (DATE(YEAR($F22)+2, MONTH($F22), DAY($F22))))</f>
        <v>-</v>
      </c>
      <c r="J22" s="41" t="s">
        <v>12</v>
      </c>
      <c r="K22" s="20">
        <v>2014</v>
      </c>
      <c r="L22" s="24" t="s">
        <v>535</v>
      </c>
      <c r="M22" s="24" t="s">
        <v>320</v>
      </c>
      <c r="N22" s="35"/>
      <c r="O22" s="24" t="s">
        <v>742</v>
      </c>
      <c r="P22" s="24" t="s">
        <v>745</v>
      </c>
      <c r="Q22" s="53" t="s">
        <v>746</v>
      </c>
    </row>
    <row r="23" spans="1:17" ht="17.399999999999999" customHeight="1" x14ac:dyDescent="0.4">
      <c r="A23" s="52" t="s">
        <v>133</v>
      </c>
      <c r="B23" s="20" t="s">
        <v>330</v>
      </c>
      <c r="C23" s="24" t="s">
        <v>487</v>
      </c>
      <c r="D23" s="20" t="s">
        <v>787</v>
      </c>
      <c r="E23" s="24" t="s">
        <v>522</v>
      </c>
      <c r="F23" s="21" t="s">
        <v>320</v>
      </c>
      <c r="G23" s="40" t="s">
        <v>320</v>
      </c>
      <c r="H23" s="24" t="s">
        <v>320</v>
      </c>
      <c r="I23" s="21" t="str" cm="1">
        <f t="array" ref="I23">_xlfn.IFS(NOT(OR($H23=12, $H23=24)), "-", $H23=12, (DATE(YEAR($F23)+1, MONTH($F23), DAY($F23))), $H23=24, (DATE(YEAR($F23)+2, MONTH($F23), DAY($F23))))</f>
        <v>-</v>
      </c>
      <c r="J23" s="41" t="s">
        <v>12</v>
      </c>
      <c r="K23" s="20">
        <v>2014</v>
      </c>
      <c r="L23" s="24" t="s">
        <v>536</v>
      </c>
      <c r="M23" s="24" t="s">
        <v>320</v>
      </c>
      <c r="N23" s="35"/>
      <c r="O23" s="24" t="s">
        <v>742</v>
      </c>
      <c r="P23" s="24" t="s">
        <v>745</v>
      </c>
      <c r="Q23" s="53" t="s">
        <v>746</v>
      </c>
    </row>
    <row r="24" spans="1:17" ht="17.399999999999999" customHeight="1" x14ac:dyDescent="0.4">
      <c r="A24" s="52" t="s">
        <v>41</v>
      </c>
      <c r="B24" s="20" t="s">
        <v>324</v>
      </c>
      <c r="C24" s="24" t="s">
        <v>38</v>
      </c>
      <c r="D24" s="20" t="s">
        <v>787</v>
      </c>
      <c r="E24" s="24" t="s">
        <v>217</v>
      </c>
      <c r="F24" s="21">
        <v>45364</v>
      </c>
      <c r="G24" s="40" t="s">
        <v>12</v>
      </c>
      <c r="H24" s="24">
        <v>12</v>
      </c>
      <c r="I24" s="21" cm="1">
        <f t="array" ref="I24">_xlfn.IFS(NOT(OR($H24=12, $H24=24)), "-", $H24=12, (DATE(YEAR($F24)+1, MONTH($F24), DAY($F24))), $H24=24, (DATE(YEAR($F24)+2, MONTH($F24), DAY($F24))))</f>
        <v>45729</v>
      </c>
      <c r="J24" s="41" t="s">
        <v>12</v>
      </c>
      <c r="K24" s="20">
        <v>2014</v>
      </c>
      <c r="L24" s="24" t="s">
        <v>39</v>
      </c>
      <c r="M24" s="24">
        <v>1447</v>
      </c>
      <c r="N24" s="35"/>
      <c r="O24" s="24" t="s">
        <v>742</v>
      </c>
      <c r="P24" s="24" t="s">
        <v>744</v>
      </c>
      <c r="Q24" s="53" t="s">
        <v>746</v>
      </c>
    </row>
    <row r="25" spans="1:17" ht="17.399999999999999" customHeight="1" x14ac:dyDescent="0.4">
      <c r="A25" s="52" t="s">
        <v>54</v>
      </c>
      <c r="B25" s="20" t="s">
        <v>324</v>
      </c>
      <c r="C25" s="24" t="s">
        <v>51</v>
      </c>
      <c r="D25" s="20" t="s">
        <v>787</v>
      </c>
      <c r="E25" s="24" t="s">
        <v>217</v>
      </c>
      <c r="F25" s="21">
        <v>45343</v>
      </c>
      <c r="G25" s="40" t="s">
        <v>12</v>
      </c>
      <c r="H25" s="24">
        <v>12</v>
      </c>
      <c r="I25" s="21" cm="1">
        <f t="array" ref="I25">_xlfn.IFS(NOT(OR($H25=12, $H25=24)), "-", $H25=12, (DATE(YEAR($F25)+1, MONTH($F25), DAY($F25))), $H25=24, (DATE(YEAR($F25)+2, MONTH($F25), DAY($F25))))</f>
        <v>45709</v>
      </c>
      <c r="J25" s="41" t="s">
        <v>12</v>
      </c>
      <c r="K25" s="20">
        <v>2014</v>
      </c>
      <c r="L25" s="24" t="s">
        <v>52</v>
      </c>
      <c r="M25" s="24">
        <v>7313</v>
      </c>
      <c r="N25" s="35"/>
      <c r="O25" s="24" t="s">
        <v>742</v>
      </c>
      <c r="P25" s="24" t="s">
        <v>744</v>
      </c>
      <c r="Q25" s="53" t="s">
        <v>746</v>
      </c>
    </row>
    <row r="26" spans="1:17" ht="17.399999999999999" customHeight="1" x14ac:dyDescent="0.4">
      <c r="A26" s="52" t="s">
        <v>131</v>
      </c>
      <c r="B26" s="20" t="s">
        <v>325</v>
      </c>
      <c r="C26" s="24" t="s">
        <v>51</v>
      </c>
      <c r="D26" s="20" t="s">
        <v>787</v>
      </c>
      <c r="E26" s="24" t="s">
        <v>217</v>
      </c>
      <c r="F26" s="21">
        <v>45435</v>
      </c>
      <c r="G26" s="40" t="s">
        <v>12</v>
      </c>
      <c r="H26" s="24">
        <v>12</v>
      </c>
      <c r="I26" s="21" cm="1">
        <f t="array" ref="I26">_xlfn.IFS(NOT(OR($H26=12, $H26=24)), "-", $H26=12, (DATE(YEAR($F26)+1, MONTH($F26), DAY($F26))), $H26=24, (DATE(YEAR($F26)+2, MONTH($F26), DAY($F26))))</f>
        <v>45800</v>
      </c>
      <c r="J26" s="41" t="s">
        <v>12</v>
      </c>
      <c r="K26" s="20">
        <v>2014</v>
      </c>
      <c r="L26" s="24" t="s">
        <v>52</v>
      </c>
      <c r="M26" s="24">
        <v>7314</v>
      </c>
      <c r="N26" s="35"/>
      <c r="O26" s="24" t="s">
        <v>742</v>
      </c>
      <c r="P26" s="24" t="s">
        <v>744</v>
      </c>
      <c r="Q26" s="53" t="s">
        <v>746</v>
      </c>
    </row>
    <row r="27" spans="1:17" ht="17.399999999999999" customHeight="1" x14ac:dyDescent="0.4">
      <c r="A27" s="52" t="s">
        <v>135</v>
      </c>
      <c r="B27" s="20">
        <v>87184</v>
      </c>
      <c r="C27" s="20" t="s">
        <v>9</v>
      </c>
      <c r="D27" s="20" t="s">
        <v>787</v>
      </c>
      <c r="E27" s="20" t="s">
        <v>217</v>
      </c>
      <c r="F27" s="21">
        <v>45295</v>
      </c>
      <c r="G27" s="22" t="s">
        <v>1</v>
      </c>
      <c r="H27" s="20">
        <v>12</v>
      </c>
      <c r="I27" s="21" cm="1">
        <f t="array" ref="I27">_xlfn.IFS(NOT(OR($H27=12, $H27=24)), "-", $H27=12, (DATE(YEAR($F27)+1, MONTH($F27), DAY($F27))), $H27=24, (DATE(YEAR($F27)+2, MONTH($F27), DAY($F27))))</f>
        <v>45661</v>
      </c>
      <c r="J27" s="20" t="s">
        <v>10</v>
      </c>
      <c r="K27" s="20">
        <v>2014</v>
      </c>
      <c r="L27" s="20" t="s">
        <v>11</v>
      </c>
      <c r="M27" s="20" t="s">
        <v>134</v>
      </c>
      <c r="N27" s="20"/>
      <c r="O27" s="24" t="s">
        <v>742</v>
      </c>
      <c r="P27" s="24" t="s">
        <v>768</v>
      </c>
      <c r="Q27" s="53" t="s">
        <v>746</v>
      </c>
    </row>
    <row r="28" spans="1:17" ht="17.399999999999999" customHeight="1" x14ac:dyDescent="0.4">
      <c r="A28" s="52" t="s">
        <v>147</v>
      </c>
      <c r="B28" s="20">
        <v>87185</v>
      </c>
      <c r="C28" s="20" t="s">
        <v>9</v>
      </c>
      <c r="D28" s="20" t="s">
        <v>787</v>
      </c>
      <c r="E28" s="20" t="s">
        <v>217</v>
      </c>
      <c r="F28" s="21">
        <v>45295</v>
      </c>
      <c r="G28" s="22" t="s">
        <v>1</v>
      </c>
      <c r="H28" s="20">
        <v>12</v>
      </c>
      <c r="I28" s="21" cm="1">
        <f t="array" ref="I28">_xlfn.IFS(NOT(OR($H28=12, $H28=24)), "-", $H28=12, (DATE(YEAR($F28)+1, MONTH($F28), DAY($F28))), $H28=24, (DATE(YEAR($F28)+2, MONTH($F28), DAY($F28))))</f>
        <v>45661</v>
      </c>
      <c r="J28" s="20" t="s">
        <v>10</v>
      </c>
      <c r="K28" s="20">
        <v>2014</v>
      </c>
      <c r="L28" s="20" t="s">
        <v>11</v>
      </c>
      <c r="M28" s="20" t="s">
        <v>146</v>
      </c>
      <c r="N28" s="20"/>
      <c r="O28" s="24" t="s">
        <v>742</v>
      </c>
      <c r="P28" s="24" t="s">
        <v>768</v>
      </c>
      <c r="Q28" s="53" t="s">
        <v>746</v>
      </c>
    </row>
    <row r="29" spans="1:17" ht="17.399999999999999" customHeight="1" x14ac:dyDescent="0.4">
      <c r="A29" s="52" t="s">
        <v>31</v>
      </c>
      <c r="B29" s="20" t="s">
        <v>325</v>
      </c>
      <c r="C29" s="20" t="s">
        <v>28</v>
      </c>
      <c r="D29" s="20" t="s">
        <v>787</v>
      </c>
      <c r="E29" s="20" t="s">
        <v>522</v>
      </c>
      <c r="F29" s="21" t="s">
        <v>320</v>
      </c>
      <c r="G29" s="22" t="s">
        <v>320</v>
      </c>
      <c r="H29" s="20" t="s">
        <v>320</v>
      </c>
      <c r="I29" s="21" t="str" cm="1">
        <f t="array" ref="I29">_xlfn.IFS(NOT(OR($H29=12, $H29=24)), "-", $H29=12, (DATE(YEAR($F29)+1, MONTH($F29), DAY($F29))), $H29=24, (DATE(YEAR($F29)+2, MONTH($F29), DAY($F29))))</f>
        <v>-</v>
      </c>
      <c r="J29" s="20" t="s">
        <v>12</v>
      </c>
      <c r="K29" s="20">
        <v>2014</v>
      </c>
      <c r="L29" s="20" t="s">
        <v>569</v>
      </c>
      <c r="M29" s="20" t="s">
        <v>30</v>
      </c>
      <c r="N29" s="20"/>
      <c r="O29" s="24" t="s">
        <v>742</v>
      </c>
      <c r="P29" s="24" t="s">
        <v>745</v>
      </c>
      <c r="Q29" s="53" t="s">
        <v>746</v>
      </c>
    </row>
    <row r="30" spans="1:17" ht="17.399999999999999" customHeight="1" x14ac:dyDescent="0.4">
      <c r="A30" s="52" t="s">
        <v>119</v>
      </c>
      <c r="B30" s="20" t="s">
        <v>324</v>
      </c>
      <c r="C30" s="20" t="s">
        <v>28</v>
      </c>
      <c r="D30" s="20" t="s">
        <v>787</v>
      </c>
      <c r="E30" s="20" t="s">
        <v>522</v>
      </c>
      <c r="F30" s="21" t="s">
        <v>320</v>
      </c>
      <c r="G30" s="22" t="s">
        <v>320</v>
      </c>
      <c r="H30" s="20" t="s">
        <v>320</v>
      </c>
      <c r="I30" s="21" t="str" cm="1">
        <f t="array" ref="I30">_xlfn.IFS(NOT(OR($H30=12, $H30=24)), "-", $H30=12, (DATE(YEAR($F30)+1, MONTH($F30), DAY($F30))), $H30=24, (DATE(YEAR($F30)+2, MONTH($F30), DAY($F30))))</f>
        <v>-</v>
      </c>
      <c r="J30" s="20" t="s">
        <v>12</v>
      </c>
      <c r="K30" s="20">
        <v>2014</v>
      </c>
      <c r="L30" s="20" t="s">
        <v>570</v>
      </c>
      <c r="M30" s="20" t="s">
        <v>118</v>
      </c>
      <c r="N30" s="20"/>
      <c r="O30" s="24" t="s">
        <v>742</v>
      </c>
      <c r="P30" s="24" t="s">
        <v>745</v>
      </c>
      <c r="Q30" s="53" t="s">
        <v>746</v>
      </c>
    </row>
    <row r="31" spans="1:17" ht="17.399999999999999" customHeight="1" x14ac:dyDescent="0.4">
      <c r="A31" s="52" t="s">
        <v>149</v>
      </c>
      <c r="B31" s="20" t="s">
        <v>331</v>
      </c>
      <c r="C31" s="20" t="s">
        <v>8</v>
      </c>
      <c r="D31" s="20" t="s">
        <v>787</v>
      </c>
      <c r="E31" s="20" t="s">
        <v>217</v>
      </c>
      <c r="F31" s="57" t="s">
        <v>762</v>
      </c>
      <c r="G31" s="22" t="s">
        <v>12</v>
      </c>
      <c r="H31" s="20">
        <v>24</v>
      </c>
      <c r="I31" s="21" t="e" cm="1">
        <f t="array" ref="I31">_xlfn.IFS(NOT(OR($H31=12, $H31=24)), "-", $H31=12, (DATE(YEAR($F31)+1, MONTH($F31), DAY($F31))), $H31=24, (DATE(YEAR($F31)+2, MONTH($F31), DAY($F31))))</f>
        <v>#VALUE!</v>
      </c>
      <c r="J31" s="20" t="s">
        <v>12</v>
      </c>
      <c r="K31" s="20">
        <v>2015</v>
      </c>
      <c r="L31" s="20" t="s">
        <v>102</v>
      </c>
      <c r="M31" s="20" t="s">
        <v>148</v>
      </c>
      <c r="N31" s="20"/>
      <c r="O31" s="24" t="s">
        <v>742</v>
      </c>
      <c r="P31" s="24" t="s">
        <v>744</v>
      </c>
      <c r="Q31" s="53" t="s">
        <v>746</v>
      </c>
    </row>
    <row r="32" spans="1:17" ht="17.399999999999999" customHeight="1" x14ac:dyDescent="0.4">
      <c r="A32" s="52" t="s">
        <v>155</v>
      </c>
      <c r="B32" s="24" t="s">
        <v>331</v>
      </c>
      <c r="C32" s="24" t="s">
        <v>8</v>
      </c>
      <c r="D32" s="20" t="s">
        <v>787</v>
      </c>
      <c r="E32" s="39" t="s">
        <v>217</v>
      </c>
      <c r="F32" s="57" t="s">
        <v>763</v>
      </c>
      <c r="G32" s="41" t="s">
        <v>12</v>
      </c>
      <c r="H32" s="42">
        <v>24</v>
      </c>
      <c r="I32" s="21" t="e" cm="1">
        <f t="array" ref="I32">_xlfn.IFS(NOT(OR($H32=12, $H32=24)), "-", $H32=12, (DATE(YEAR($F32)+1, MONTH($F32), DAY($F32))), $H32=24, (DATE(YEAR($F32)+2, MONTH($F32), DAY($F32))))</f>
        <v>#VALUE!</v>
      </c>
      <c r="J32" s="41" t="s">
        <v>12</v>
      </c>
      <c r="K32" s="20">
        <v>2015</v>
      </c>
      <c r="L32" s="24" t="s">
        <v>120</v>
      </c>
      <c r="M32" s="35" t="s">
        <v>154</v>
      </c>
      <c r="N32" s="24"/>
      <c r="O32" s="24" t="s">
        <v>742</v>
      </c>
      <c r="P32" s="24" t="s">
        <v>744</v>
      </c>
      <c r="Q32" s="53" t="s">
        <v>746</v>
      </c>
    </row>
    <row r="33" spans="1:17" ht="17.399999999999999" customHeight="1" x14ac:dyDescent="0.4">
      <c r="A33" s="52" t="s">
        <v>157</v>
      </c>
      <c r="B33" s="20" t="s">
        <v>331</v>
      </c>
      <c r="C33" s="24" t="s">
        <v>8</v>
      </c>
      <c r="D33" s="20" t="s">
        <v>787</v>
      </c>
      <c r="E33" s="39" t="s">
        <v>217</v>
      </c>
      <c r="F33" s="21">
        <v>45365</v>
      </c>
      <c r="G33" s="41" t="s">
        <v>12</v>
      </c>
      <c r="H33" s="42">
        <v>24</v>
      </c>
      <c r="I33" s="21" cm="1">
        <f t="array" ref="I33">_xlfn.IFS(NOT(OR($H33=12, $H33=24)), "-", $H33=12, (DATE(YEAR($F33)+1, MONTH($F33), DAY($F33))), $H33=24, (DATE(YEAR($F33)+2, MONTH($F33), DAY($F33))))</f>
        <v>46095</v>
      </c>
      <c r="J33" s="41" t="s">
        <v>12</v>
      </c>
      <c r="K33" s="20">
        <v>2015</v>
      </c>
      <c r="L33" s="24" t="s">
        <v>115</v>
      </c>
      <c r="M33" s="35">
        <v>960</v>
      </c>
      <c r="N33" s="24"/>
      <c r="O33" s="24" t="s">
        <v>742</v>
      </c>
      <c r="P33" s="24" t="s">
        <v>744</v>
      </c>
      <c r="Q33" s="53" t="s">
        <v>746</v>
      </c>
    </row>
    <row r="34" spans="1:17" ht="17.399999999999999" customHeight="1" x14ac:dyDescent="0.4">
      <c r="A34" s="52" t="s">
        <v>163</v>
      </c>
      <c r="B34" s="20" t="s">
        <v>331</v>
      </c>
      <c r="C34" s="24" t="s">
        <v>8</v>
      </c>
      <c r="D34" s="20" t="s">
        <v>787</v>
      </c>
      <c r="E34" s="39" t="s">
        <v>217</v>
      </c>
      <c r="F34" s="21">
        <v>45548</v>
      </c>
      <c r="G34" s="41" t="s">
        <v>12</v>
      </c>
      <c r="H34" s="42">
        <v>24</v>
      </c>
      <c r="I34" s="21" cm="1">
        <f t="array" ref="I34">_xlfn.IFS(NOT(OR($H34=12, $H34=24)), "-", $H34=12, (DATE(YEAR($F34)+1, MONTH($F34), DAY($F34))), $H34=24, (DATE(YEAR($F34)+2, MONTH($F34), DAY($F34))))</f>
        <v>46278</v>
      </c>
      <c r="J34" s="41" t="s">
        <v>12</v>
      </c>
      <c r="K34" s="20">
        <v>2015</v>
      </c>
      <c r="L34" s="24" t="s">
        <v>161</v>
      </c>
      <c r="M34" s="35">
        <v>1097</v>
      </c>
      <c r="N34" s="24"/>
      <c r="O34" s="24" t="s">
        <v>742</v>
      </c>
      <c r="P34" s="24" t="s">
        <v>744</v>
      </c>
      <c r="Q34" s="53" t="s">
        <v>746</v>
      </c>
    </row>
    <row r="35" spans="1:17" ht="17.399999999999999" customHeight="1" x14ac:dyDescent="0.4">
      <c r="A35" s="52" t="s">
        <v>159</v>
      </c>
      <c r="B35" s="20" t="s">
        <v>331</v>
      </c>
      <c r="C35" s="24" t="s">
        <v>8</v>
      </c>
      <c r="D35" s="20" t="s">
        <v>787</v>
      </c>
      <c r="E35" s="20" t="s">
        <v>217</v>
      </c>
      <c r="F35" s="21">
        <v>44985</v>
      </c>
      <c r="G35" s="22" t="s">
        <v>12</v>
      </c>
      <c r="H35" s="20">
        <v>24</v>
      </c>
      <c r="I35" s="21" cm="1">
        <f t="array" ref="I35">_xlfn.IFS(NOT(OR($H35=12, $H35=24)), "-", $H35=12, (DATE(YEAR($F35)+1, MONTH($F35), DAY($F35))), $H35=24, (DATE(YEAR($F35)+2, MONTH($F35), DAY($F35))))</f>
        <v>45716</v>
      </c>
      <c r="J35" s="41" t="s">
        <v>12</v>
      </c>
      <c r="K35" s="20">
        <v>2015</v>
      </c>
      <c r="L35" s="20" t="s">
        <v>47</v>
      </c>
      <c r="M35" s="20">
        <v>1209</v>
      </c>
      <c r="N35" s="20"/>
      <c r="O35" s="24" t="s">
        <v>742</v>
      </c>
      <c r="P35" s="24" t="s">
        <v>744</v>
      </c>
      <c r="Q35" s="53" t="s">
        <v>746</v>
      </c>
    </row>
    <row r="36" spans="1:17" ht="17.399999999999999" customHeight="1" x14ac:dyDescent="0.4">
      <c r="A36" s="52" t="s">
        <v>165</v>
      </c>
      <c r="B36" s="20" t="s">
        <v>331</v>
      </c>
      <c r="C36" s="24" t="s">
        <v>38</v>
      </c>
      <c r="D36" s="20" t="s">
        <v>787</v>
      </c>
      <c r="E36" s="20" t="s">
        <v>217</v>
      </c>
      <c r="F36" s="21">
        <v>45519</v>
      </c>
      <c r="G36" s="41" t="s">
        <v>12</v>
      </c>
      <c r="H36" s="20">
        <v>12</v>
      </c>
      <c r="I36" s="21" cm="1">
        <f t="array" ref="I36">_xlfn.IFS(NOT(OR($H36=12, $H36=24)), "-", $H36=12, (DATE(YEAR($F36)+1, MONTH($F36), DAY($F36))), $H36=24, (DATE(YEAR($F36)+2, MONTH($F36), DAY($F36))))</f>
        <v>45884</v>
      </c>
      <c r="J36" s="41" t="s">
        <v>12</v>
      </c>
      <c r="K36" s="20">
        <v>2015</v>
      </c>
      <c r="L36" s="20" t="s">
        <v>39</v>
      </c>
      <c r="M36" s="20">
        <v>1468</v>
      </c>
      <c r="N36" s="23"/>
      <c r="O36" s="24" t="s">
        <v>742</v>
      </c>
      <c r="P36" s="24" t="s">
        <v>744</v>
      </c>
      <c r="Q36" s="53" t="s">
        <v>746</v>
      </c>
    </row>
    <row r="37" spans="1:17" ht="17.399999999999999" customHeight="1" x14ac:dyDescent="0.4">
      <c r="A37" s="52" t="s">
        <v>169</v>
      </c>
      <c r="B37" s="20" t="s">
        <v>331</v>
      </c>
      <c r="C37" s="24" t="s">
        <v>51</v>
      </c>
      <c r="D37" s="20" t="s">
        <v>787</v>
      </c>
      <c r="E37" s="20" t="s">
        <v>217</v>
      </c>
      <c r="F37" s="57" t="s">
        <v>764</v>
      </c>
      <c r="G37" s="41" t="s">
        <v>12</v>
      </c>
      <c r="H37" s="20">
        <v>12</v>
      </c>
      <c r="I37" s="21" t="e" cm="1">
        <f t="array" ref="I37">_xlfn.IFS(NOT(OR($H37=12, $H37=24)), "-", $H37=12, (DATE(YEAR($F37)+1, MONTH($F37), DAY($F37))), $H37=24, (DATE(YEAR($F37)+2, MONTH($F37), DAY($F37))))</f>
        <v>#VALUE!</v>
      </c>
      <c r="J37" s="41" t="s">
        <v>12</v>
      </c>
      <c r="K37" s="20">
        <v>2015</v>
      </c>
      <c r="L37" s="20" t="s">
        <v>52</v>
      </c>
      <c r="M37" s="20">
        <v>7330</v>
      </c>
      <c r="N37" s="20"/>
      <c r="O37" s="24" t="s">
        <v>742</v>
      </c>
      <c r="P37" s="24" t="s">
        <v>744</v>
      </c>
      <c r="Q37" s="53" t="s">
        <v>746</v>
      </c>
    </row>
    <row r="38" spans="1:17" ht="17.399999999999999" customHeight="1" x14ac:dyDescent="0.4">
      <c r="A38" s="52" t="s">
        <v>171</v>
      </c>
      <c r="B38" s="20" t="s">
        <v>331</v>
      </c>
      <c r="C38" s="24" t="s">
        <v>488</v>
      </c>
      <c r="D38" s="20" t="s">
        <v>787</v>
      </c>
      <c r="E38" s="20" t="s">
        <v>522</v>
      </c>
      <c r="F38" s="21" t="s">
        <v>320</v>
      </c>
      <c r="G38" s="41" t="s">
        <v>320</v>
      </c>
      <c r="H38" s="20" t="s">
        <v>320</v>
      </c>
      <c r="I38" s="21" t="str" cm="1">
        <f t="array" ref="I38">_xlfn.IFS(NOT(OR($H38=12, $H38=24)), "-", $H38=12, (DATE(YEAR($F38)+1, MONTH($F38), DAY($F38))), $H38=24, (DATE(YEAR($F38)+2, MONTH($F38), DAY($F38))))</f>
        <v>-</v>
      </c>
      <c r="J38" s="41" t="s">
        <v>12</v>
      </c>
      <c r="K38" s="20">
        <v>2015</v>
      </c>
      <c r="L38" s="20" t="s">
        <v>571</v>
      </c>
      <c r="M38" s="20" t="s">
        <v>170</v>
      </c>
      <c r="N38" s="20"/>
      <c r="O38" s="24" t="s">
        <v>742</v>
      </c>
      <c r="P38" s="24" t="s">
        <v>745</v>
      </c>
      <c r="Q38" s="53" t="s">
        <v>746</v>
      </c>
    </row>
    <row r="39" spans="1:17" ht="17.399999999999999" customHeight="1" x14ac:dyDescent="0.4">
      <c r="A39" s="52" t="s">
        <v>175</v>
      </c>
      <c r="B39" s="20">
        <v>126650</v>
      </c>
      <c r="C39" s="24" t="s">
        <v>9</v>
      </c>
      <c r="D39" s="20" t="s">
        <v>787</v>
      </c>
      <c r="E39" s="20" t="s">
        <v>217</v>
      </c>
      <c r="F39" s="21">
        <v>45295</v>
      </c>
      <c r="G39" s="41" t="s">
        <v>1</v>
      </c>
      <c r="H39" s="20">
        <v>12</v>
      </c>
      <c r="I39" s="21" cm="1">
        <f t="array" ref="I39">_xlfn.IFS(NOT(OR($H39=12, $H39=24)), "-", $H39=12, (DATE(YEAR($F39)+1, MONTH($F39), DAY($F39))), $H39=24, (DATE(YEAR($F39)+2, MONTH($F39), DAY($F39))))</f>
        <v>45661</v>
      </c>
      <c r="J39" s="41" t="s">
        <v>10</v>
      </c>
      <c r="K39" s="20">
        <v>2015</v>
      </c>
      <c r="L39" s="43" t="s">
        <v>11</v>
      </c>
      <c r="M39" s="43" t="s">
        <v>174</v>
      </c>
      <c r="N39" s="24"/>
      <c r="O39" s="24" t="s">
        <v>742</v>
      </c>
      <c r="P39" s="24" t="s">
        <v>768</v>
      </c>
      <c r="Q39" s="53" t="s">
        <v>746</v>
      </c>
    </row>
    <row r="40" spans="1:17" ht="17.399999999999999" customHeight="1" x14ac:dyDescent="0.4">
      <c r="A40" s="52" t="s">
        <v>332</v>
      </c>
      <c r="B40" s="20" t="s">
        <v>325</v>
      </c>
      <c r="C40" s="24" t="s">
        <v>38</v>
      </c>
      <c r="D40" s="20" t="s">
        <v>787</v>
      </c>
      <c r="E40" s="20" t="s">
        <v>217</v>
      </c>
      <c r="F40" s="21">
        <v>45488</v>
      </c>
      <c r="G40" s="41" t="s">
        <v>12</v>
      </c>
      <c r="H40" s="20">
        <v>12</v>
      </c>
      <c r="I40" s="21" cm="1">
        <f t="array" ref="I40">_xlfn.IFS(NOT(OR($H40=12, $H40=24)), "-", $H40=12, (DATE(YEAR($F40)+1, MONTH($F40), DAY($F40))), $H40=24, (DATE(YEAR($F40)+2, MONTH($F40), DAY($F40))))</f>
        <v>45853</v>
      </c>
      <c r="J40" s="20" t="s">
        <v>12</v>
      </c>
      <c r="K40" s="20">
        <v>2015</v>
      </c>
      <c r="L40" s="20" t="s">
        <v>39</v>
      </c>
      <c r="M40" s="20">
        <v>1494</v>
      </c>
      <c r="N40" s="20"/>
      <c r="O40" s="24" t="s">
        <v>742</v>
      </c>
      <c r="P40" s="24" t="s">
        <v>744</v>
      </c>
      <c r="Q40" s="53" t="s">
        <v>746</v>
      </c>
    </row>
    <row r="41" spans="1:17" ht="17.399999999999999" customHeight="1" x14ac:dyDescent="0.4">
      <c r="A41" s="52" t="s">
        <v>222</v>
      </c>
      <c r="B41" s="20" t="s">
        <v>331</v>
      </c>
      <c r="C41" s="24" t="s">
        <v>51</v>
      </c>
      <c r="D41" s="20" t="s">
        <v>787</v>
      </c>
      <c r="E41" s="20" t="s">
        <v>217</v>
      </c>
      <c r="F41" s="21">
        <v>45490</v>
      </c>
      <c r="G41" s="41" t="s">
        <v>12</v>
      </c>
      <c r="H41" s="20">
        <v>12</v>
      </c>
      <c r="I41" s="21" cm="1">
        <f t="array" ref="I41">_xlfn.IFS(NOT(OR($H41=12, $H41=24)), "-", $H41=12, (DATE(YEAR($F41)+1, MONTH($F41), DAY($F41))), $H41=24, (DATE(YEAR($F41)+2, MONTH($F41), DAY($F41))))</f>
        <v>45855</v>
      </c>
      <c r="J41" s="20" t="s">
        <v>12</v>
      </c>
      <c r="K41" s="20">
        <v>2015</v>
      </c>
      <c r="L41" s="20" t="s">
        <v>52</v>
      </c>
      <c r="M41" s="20">
        <v>7376</v>
      </c>
      <c r="N41" s="20"/>
      <c r="O41" s="24" t="s">
        <v>742</v>
      </c>
      <c r="P41" s="24" t="s">
        <v>744</v>
      </c>
      <c r="Q41" s="53" t="s">
        <v>746</v>
      </c>
    </row>
    <row r="42" spans="1:17" ht="17.399999999999999" customHeight="1" x14ac:dyDescent="0.4">
      <c r="A42" s="52" t="s">
        <v>223</v>
      </c>
      <c r="B42" s="20" t="s">
        <v>333</v>
      </c>
      <c r="C42" s="24" t="s">
        <v>8</v>
      </c>
      <c r="D42" s="20" t="s">
        <v>787</v>
      </c>
      <c r="E42" s="20" t="s">
        <v>217</v>
      </c>
      <c r="F42" s="58" t="s">
        <v>765</v>
      </c>
      <c r="G42" s="41" t="s">
        <v>12</v>
      </c>
      <c r="H42" s="20">
        <v>24</v>
      </c>
      <c r="I42" s="21" t="e" cm="1">
        <f t="array" ref="I42">_xlfn.IFS(NOT(OR($H42=12, $H42=24)), "-", $H42=12, (DATE(YEAR($F42)+1, MONTH($F42), DAY($F42))), $H42=24, (DATE(YEAR($F42)+2, MONTH($F42), DAY($F42))))</f>
        <v>#VALUE!</v>
      </c>
      <c r="J42" s="20" t="s">
        <v>12</v>
      </c>
      <c r="K42" s="20">
        <v>2017</v>
      </c>
      <c r="L42" s="20" t="s">
        <v>537</v>
      </c>
      <c r="M42" s="20">
        <v>334</v>
      </c>
      <c r="N42" s="20"/>
      <c r="O42" s="24" t="s">
        <v>742</v>
      </c>
      <c r="P42" s="24" t="s">
        <v>744</v>
      </c>
      <c r="Q42" s="53" t="s">
        <v>746</v>
      </c>
    </row>
    <row r="43" spans="1:17" ht="17.399999999999999" customHeight="1" x14ac:dyDescent="0.4">
      <c r="A43" s="54" t="s">
        <v>224</v>
      </c>
      <c r="B43" s="20" t="s">
        <v>334</v>
      </c>
      <c r="C43" s="24" t="s">
        <v>225</v>
      </c>
      <c r="D43" s="20" t="s">
        <v>787</v>
      </c>
      <c r="E43" s="20" t="s">
        <v>523</v>
      </c>
      <c r="F43" s="21" t="s">
        <v>320</v>
      </c>
      <c r="G43" s="41" t="s">
        <v>320</v>
      </c>
      <c r="H43" s="20" t="s">
        <v>320</v>
      </c>
      <c r="I43" s="21" t="str" cm="1">
        <f t="array" ref="I43">_xlfn.IFS(NOT(OR($H43=12, $H43=24)), "-", $H43=12, (DATE(YEAR($F43)+1, MONTH($F43), DAY($F43))), $H43=24, (DATE(YEAR($F43)+2, MONTH($F43), DAY($F43))))</f>
        <v>-</v>
      </c>
      <c r="J43" s="20" t="s">
        <v>12</v>
      </c>
      <c r="K43" s="20">
        <v>2017</v>
      </c>
      <c r="L43" s="20" t="s">
        <v>538</v>
      </c>
      <c r="M43" s="20">
        <v>1032</v>
      </c>
      <c r="N43" s="20"/>
      <c r="O43" s="24" t="s">
        <v>742</v>
      </c>
      <c r="P43" s="24" t="s">
        <v>745</v>
      </c>
      <c r="Q43" s="24" t="s">
        <v>746</v>
      </c>
    </row>
    <row r="44" spans="1:17" ht="20.25" customHeight="1" x14ac:dyDescent="0.4">
      <c r="A44" s="54" t="s">
        <v>226</v>
      </c>
      <c r="B44" s="20" t="s">
        <v>334</v>
      </c>
      <c r="C44" s="20" t="s">
        <v>227</v>
      </c>
      <c r="D44" s="20" t="s">
        <v>787</v>
      </c>
      <c r="E44" s="20" t="s">
        <v>523</v>
      </c>
      <c r="F44" s="21" t="s">
        <v>320</v>
      </c>
      <c r="G44" s="22" t="s">
        <v>320</v>
      </c>
      <c r="H44" s="20" t="s">
        <v>320</v>
      </c>
      <c r="I44" s="21" t="str" cm="1">
        <f t="array" ref="I44">_xlfn.IFS(NOT(OR($H44=12, $H44=24)), "-", $H44=12, (DATE(YEAR($F44)+1, MONTH($F44), DAY($F44))), $H44=24, (DATE(YEAR($F44)+2, MONTH($F44), DAY($F44))))</f>
        <v>-</v>
      </c>
      <c r="J44" s="20" t="s">
        <v>12</v>
      </c>
      <c r="K44" s="20">
        <v>2017</v>
      </c>
      <c r="L44" s="20" t="s">
        <v>539</v>
      </c>
      <c r="M44" s="20">
        <v>1014</v>
      </c>
      <c r="N44" s="23"/>
      <c r="O44" s="24" t="s">
        <v>742</v>
      </c>
      <c r="P44" s="24" t="s">
        <v>745</v>
      </c>
      <c r="Q44" s="24" t="s">
        <v>746</v>
      </c>
    </row>
    <row r="45" spans="1:17" ht="20.25" customHeight="1" x14ac:dyDescent="0.4">
      <c r="A45" s="54" t="s">
        <v>228</v>
      </c>
      <c r="B45" s="20" t="s">
        <v>334</v>
      </c>
      <c r="C45" s="25" t="s">
        <v>229</v>
      </c>
      <c r="D45" s="20" t="s">
        <v>787</v>
      </c>
      <c r="E45" s="25" t="s">
        <v>523</v>
      </c>
      <c r="F45" s="21" t="s">
        <v>320</v>
      </c>
      <c r="G45" s="26" t="s">
        <v>320</v>
      </c>
      <c r="H45" s="25" t="s">
        <v>320</v>
      </c>
      <c r="I45" s="21" t="str" cm="1">
        <f t="array" ref="I45">_xlfn.IFS(NOT(OR($H45=12, $H45=24)), "-", $H45=12, (DATE(YEAR($F45)+1, MONTH($F45), DAY($F45))), $H45=24, (DATE(YEAR($F45)+2, MONTH($F45), DAY($F45))))</f>
        <v>-</v>
      </c>
      <c r="J45" s="25" t="s">
        <v>12</v>
      </c>
      <c r="K45" s="20">
        <v>2017</v>
      </c>
      <c r="L45" s="25" t="s">
        <v>540</v>
      </c>
      <c r="M45" s="25">
        <v>1019</v>
      </c>
      <c r="N45" s="27"/>
      <c r="O45" s="28" t="s">
        <v>742</v>
      </c>
      <c r="P45" s="28" t="s">
        <v>745</v>
      </c>
      <c r="Q45" s="24" t="s">
        <v>746</v>
      </c>
    </row>
    <row r="46" spans="1:17" ht="20.25" customHeight="1" x14ac:dyDescent="0.4">
      <c r="A46" s="54" t="s">
        <v>335</v>
      </c>
      <c r="B46" s="20" t="s">
        <v>336</v>
      </c>
      <c r="C46" s="33" t="s">
        <v>231</v>
      </c>
      <c r="D46" s="20" t="s">
        <v>787</v>
      </c>
      <c r="E46" s="33" t="s">
        <v>217</v>
      </c>
      <c r="F46" s="21">
        <v>45191</v>
      </c>
      <c r="G46" s="34" t="s">
        <v>12</v>
      </c>
      <c r="H46" s="33">
        <v>24</v>
      </c>
      <c r="I46" s="21" cm="1">
        <f t="array" ref="I46">_xlfn.IFS(NOT(OR($H46=12, $H46=24)), "-", $H46=12, (DATE(YEAR($F46)+1, MONTH($F46), DAY($F46))), $H46=24, (DATE(YEAR($F46)+2, MONTH($F46), DAY($F46))))</f>
        <v>45922</v>
      </c>
      <c r="J46" s="36" t="s">
        <v>12</v>
      </c>
      <c r="K46" s="20">
        <v>2017</v>
      </c>
      <c r="L46" s="33" t="s">
        <v>541</v>
      </c>
      <c r="M46" s="33">
        <v>1000</v>
      </c>
      <c r="N46" s="35"/>
      <c r="O46" s="24" t="s">
        <v>742</v>
      </c>
      <c r="P46" s="24" t="s">
        <v>744</v>
      </c>
      <c r="Q46" s="24" t="s">
        <v>746</v>
      </c>
    </row>
    <row r="47" spans="1:17" ht="20.25" customHeight="1" x14ac:dyDescent="0.4">
      <c r="A47" s="54" t="s">
        <v>232</v>
      </c>
      <c r="B47" s="20" t="s">
        <v>336</v>
      </c>
      <c r="C47" s="33" t="s">
        <v>233</v>
      </c>
      <c r="D47" s="20" t="s">
        <v>787</v>
      </c>
      <c r="E47" s="33" t="s">
        <v>217</v>
      </c>
      <c r="F47" s="21">
        <v>45191</v>
      </c>
      <c r="G47" s="34" t="s">
        <v>12</v>
      </c>
      <c r="H47" s="33">
        <v>24</v>
      </c>
      <c r="I47" s="21" cm="1">
        <f t="array" ref="I47">_xlfn.IFS(NOT(OR($H47=12, $H47=24)), "-", $H47=12, (DATE(YEAR($F47)+1, MONTH($F47), DAY($F47))), $H47=24, (DATE(YEAR($F47)+2, MONTH($F47), DAY($F47))))</f>
        <v>45922</v>
      </c>
      <c r="J47" s="36" t="s">
        <v>12</v>
      </c>
      <c r="K47" s="20">
        <v>2017</v>
      </c>
      <c r="L47" s="33" t="s">
        <v>542</v>
      </c>
      <c r="M47" s="33">
        <v>1000</v>
      </c>
      <c r="N47" s="35"/>
      <c r="O47" s="24" t="s">
        <v>742</v>
      </c>
      <c r="P47" s="24" t="s">
        <v>744</v>
      </c>
      <c r="Q47" s="24" t="s">
        <v>746</v>
      </c>
    </row>
    <row r="48" spans="1:17" ht="20.25" customHeight="1" x14ac:dyDescent="0.4">
      <c r="A48" s="54" t="s">
        <v>234</v>
      </c>
      <c r="B48" s="20" t="s">
        <v>336</v>
      </c>
      <c r="C48" s="33" t="s">
        <v>231</v>
      </c>
      <c r="D48" s="20" t="s">
        <v>787</v>
      </c>
      <c r="E48" s="33" t="s">
        <v>217</v>
      </c>
      <c r="F48" s="21">
        <v>45191</v>
      </c>
      <c r="G48" s="34" t="s">
        <v>12</v>
      </c>
      <c r="H48" s="33">
        <v>24</v>
      </c>
      <c r="I48" s="21" cm="1">
        <f t="array" ref="I48">_xlfn.IFS(NOT(OR($H48=12, $H48=24)), "-", $H48=12, (DATE(YEAR($F48)+1, MONTH($F48), DAY($F48))), $H48=24, (DATE(YEAR($F48)+2, MONTH($F48), DAY($F48))))</f>
        <v>45922</v>
      </c>
      <c r="J48" s="36" t="s">
        <v>12</v>
      </c>
      <c r="K48" s="20">
        <v>2017</v>
      </c>
      <c r="L48" s="33" t="s">
        <v>543</v>
      </c>
      <c r="M48" s="33">
        <v>1002</v>
      </c>
      <c r="N48" s="35"/>
      <c r="O48" s="24" t="s">
        <v>742</v>
      </c>
      <c r="P48" s="24" t="s">
        <v>744</v>
      </c>
      <c r="Q48" s="24" t="s">
        <v>746</v>
      </c>
    </row>
    <row r="49" spans="1:17" ht="20.25" customHeight="1" x14ac:dyDescent="0.4">
      <c r="A49" s="54" t="s">
        <v>235</v>
      </c>
      <c r="B49" s="20" t="s">
        <v>336</v>
      </c>
      <c r="C49" s="33" t="s">
        <v>233</v>
      </c>
      <c r="D49" s="20" t="s">
        <v>787</v>
      </c>
      <c r="E49" s="33" t="s">
        <v>217</v>
      </c>
      <c r="F49" s="21">
        <v>45191</v>
      </c>
      <c r="G49" s="34" t="s">
        <v>12</v>
      </c>
      <c r="H49" s="33">
        <v>24</v>
      </c>
      <c r="I49" s="21" cm="1">
        <f t="array" ref="I49">_xlfn.IFS(NOT(OR($H49=12, $H49=24)), "-", $H49=12, (DATE(YEAR($F49)+1, MONTH($F49), DAY($F49))), $H49=24, (DATE(YEAR($F49)+2, MONTH($F49), DAY($F49))))</f>
        <v>45922</v>
      </c>
      <c r="J49" s="36" t="s">
        <v>12</v>
      </c>
      <c r="K49" s="20">
        <v>2017</v>
      </c>
      <c r="L49" s="37" t="s">
        <v>544</v>
      </c>
      <c r="M49" s="33">
        <v>1009</v>
      </c>
      <c r="N49" s="35"/>
      <c r="O49" s="24" t="s">
        <v>742</v>
      </c>
      <c r="P49" s="24" t="s">
        <v>744</v>
      </c>
      <c r="Q49" s="24" t="s">
        <v>746</v>
      </c>
    </row>
    <row r="50" spans="1:17" ht="20.25" customHeight="1" x14ac:dyDescent="0.4">
      <c r="A50" s="54" t="s">
        <v>236</v>
      </c>
      <c r="B50" s="20">
        <v>225162</v>
      </c>
      <c r="C50" s="33" t="s">
        <v>237</v>
      </c>
      <c r="D50" s="20" t="s">
        <v>787</v>
      </c>
      <c r="E50" s="33" t="s">
        <v>523</v>
      </c>
      <c r="F50" s="21" t="s">
        <v>320</v>
      </c>
      <c r="G50" s="34" t="s">
        <v>320</v>
      </c>
      <c r="H50" s="33" t="s">
        <v>320</v>
      </c>
      <c r="I50" s="21" t="str" cm="1">
        <f t="array" ref="I50">_xlfn.IFS(NOT(OR($H50=12, $H50=24)), "-", $H50=12, (DATE(YEAR($F50)+1, MONTH($F50), DAY($F50))), $H50=24, (DATE(YEAR($F50)+2, MONTH($F50), DAY($F50))))</f>
        <v>-</v>
      </c>
      <c r="J50" s="33" t="s">
        <v>66</v>
      </c>
      <c r="K50" s="20">
        <v>2018</v>
      </c>
      <c r="L50" s="33" t="s">
        <v>545</v>
      </c>
      <c r="M50" s="33">
        <v>101799</v>
      </c>
      <c r="N50" s="35"/>
      <c r="O50" s="24" t="s">
        <v>742</v>
      </c>
      <c r="P50" s="24" t="s">
        <v>745</v>
      </c>
      <c r="Q50" s="24" t="s">
        <v>746</v>
      </c>
    </row>
    <row r="51" spans="1:17" ht="20.25" customHeight="1" x14ac:dyDescent="0.4">
      <c r="A51" s="54" t="s">
        <v>238</v>
      </c>
      <c r="B51" s="20">
        <v>225163</v>
      </c>
      <c r="C51" s="33" t="s">
        <v>280</v>
      </c>
      <c r="D51" s="20" t="s">
        <v>787</v>
      </c>
      <c r="E51" s="33" t="s">
        <v>523</v>
      </c>
      <c r="F51" s="21" t="s">
        <v>320</v>
      </c>
      <c r="G51" s="34" t="s">
        <v>320</v>
      </c>
      <c r="H51" s="33" t="s">
        <v>320</v>
      </c>
      <c r="I51" s="21" t="str" cm="1">
        <f t="array" ref="I51">_xlfn.IFS(NOT(OR($H51=12, $H51=24)), "-", $H51=12, (DATE(YEAR($F51)+1, MONTH($F51), DAY($F51))), $H51=24, (DATE(YEAR($F51)+2, MONTH($F51), DAY($F51))))</f>
        <v>-</v>
      </c>
      <c r="J51" s="33" t="s">
        <v>66</v>
      </c>
      <c r="K51" s="20">
        <v>2018</v>
      </c>
      <c r="L51" s="33" t="s">
        <v>546</v>
      </c>
      <c r="M51" s="33">
        <v>102203</v>
      </c>
      <c r="N51" s="35"/>
      <c r="O51" s="24" t="s">
        <v>742</v>
      </c>
      <c r="P51" s="24" t="s">
        <v>745</v>
      </c>
      <c r="Q51" s="24" t="s">
        <v>746</v>
      </c>
    </row>
    <row r="52" spans="1:17" s="55" customFormat="1" ht="20.25" customHeight="1" x14ac:dyDescent="0.4">
      <c r="A52" s="59" t="s">
        <v>239</v>
      </c>
      <c r="B52" s="60" t="s">
        <v>337</v>
      </c>
      <c r="C52" s="61" t="s">
        <v>489</v>
      </c>
      <c r="D52" s="20" t="s">
        <v>787</v>
      </c>
      <c r="E52" s="61" t="s">
        <v>217</v>
      </c>
      <c r="F52" s="62">
        <v>45496</v>
      </c>
      <c r="G52" s="63" t="s">
        <v>1</v>
      </c>
      <c r="H52" s="61">
        <v>12</v>
      </c>
      <c r="I52" s="62" cm="1">
        <f t="array" ref="I52">_xlfn.IFS(NOT(OR($H52=12, $H52=24)), "-", $H52=12, (DATE(YEAR($F52)+1, MONTH($F52), DAY($F52))), $H52=24, (DATE(YEAR($F52)+2, MONTH($F52), DAY($F52))))</f>
        <v>45861</v>
      </c>
      <c r="J52" s="61" t="s">
        <v>526</v>
      </c>
      <c r="K52" s="60">
        <v>2018</v>
      </c>
      <c r="L52" s="61" t="s">
        <v>572</v>
      </c>
      <c r="M52" s="61" t="s">
        <v>656</v>
      </c>
      <c r="N52" s="56"/>
      <c r="O52" s="28" t="s">
        <v>742</v>
      </c>
      <c r="P52" s="28" t="s">
        <v>771</v>
      </c>
      <c r="Q52" s="28" t="s">
        <v>770</v>
      </c>
    </row>
    <row r="53" spans="1:17" ht="20.25" customHeight="1" x14ac:dyDescent="0.4">
      <c r="A53" s="54" t="s">
        <v>240</v>
      </c>
      <c r="B53" s="20" t="s">
        <v>338</v>
      </c>
      <c r="C53" s="33" t="s">
        <v>220</v>
      </c>
      <c r="D53" s="20" t="s">
        <v>787</v>
      </c>
      <c r="E53" s="33" t="s">
        <v>217</v>
      </c>
      <c r="F53" s="21">
        <v>45498</v>
      </c>
      <c r="G53" s="34" t="s">
        <v>1</v>
      </c>
      <c r="H53" s="33">
        <v>12</v>
      </c>
      <c r="I53" s="21" cm="1">
        <f t="array" ref="I53">_xlfn.IFS(NOT(OR($H53=12, $H53=24)), "-", $H53=12, (DATE(YEAR($F53)+1, MONTH($F53), DAY($F53))), $H53=24, (DATE(YEAR($F53)+2, MONTH($F53), DAY($F53))))</f>
        <v>45863</v>
      </c>
      <c r="J53" s="33" t="s">
        <v>66</v>
      </c>
      <c r="K53" s="20">
        <v>2018</v>
      </c>
      <c r="L53" s="33" t="s">
        <v>547</v>
      </c>
      <c r="M53" s="33">
        <v>162790</v>
      </c>
      <c r="N53" s="35"/>
      <c r="O53" s="24" t="s">
        <v>742</v>
      </c>
      <c r="P53" s="24" t="s">
        <v>768</v>
      </c>
      <c r="Q53" s="24" t="s">
        <v>746</v>
      </c>
    </row>
    <row r="54" spans="1:17" ht="20.25" customHeight="1" x14ac:dyDescent="0.4">
      <c r="A54" s="54" t="s">
        <v>241</v>
      </c>
      <c r="B54" s="20" t="s">
        <v>339</v>
      </c>
      <c r="C54" s="20" t="s">
        <v>8</v>
      </c>
      <c r="D54" s="20" t="s">
        <v>787</v>
      </c>
      <c r="E54" s="20" t="s">
        <v>217</v>
      </c>
      <c r="F54" s="21">
        <v>44880</v>
      </c>
      <c r="G54" s="38" t="s">
        <v>12</v>
      </c>
      <c r="H54" s="20">
        <v>24</v>
      </c>
      <c r="I54" s="21" cm="1">
        <f t="array" ref="I54">_xlfn.IFS(NOT(OR($H54=12, $H54=24)), "-", $H54=12, (DATE(YEAR($F54)+1, MONTH($F54), DAY($F54))), $H54=24, (DATE(YEAR($F54)+2, MONTH($F54), DAY($F54))))</f>
        <v>45611</v>
      </c>
      <c r="J54" s="20" t="s">
        <v>12</v>
      </c>
      <c r="K54" s="20">
        <v>2018</v>
      </c>
      <c r="L54" s="20" t="s">
        <v>548</v>
      </c>
      <c r="M54" s="20">
        <v>1090</v>
      </c>
      <c r="N54" s="23"/>
      <c r="O54" s="24" t="s">
        <v>742</v>
      </c>
      <c r="P54" s="24" t="s">
        <v>744</v>
      </c>
      <c r="Q54" s="24" t="s">
        <v>746</v>
      </c>
    </row>
    <row r="55" spans="1:17" ht="20.25" customHeight="1" x14ac:dyDescent="0.4">
      <c r="A55" s="54" t="s">
        <v>242</v>
      </c>
      <c r="B55" s="20" t="s">
        <v>340</v>
      </c>
      <c r="C55" s="20" t="s">
        <v>230</v>
      </c>
      <c r="D55" s="20" t="s">
        <v>787</v>
      </c>
      <c r="E55" s="20" t="s">
        <v>217</v>
      </c>
      <c r="F55" s="21">
        <v>45246</v>
      </c>
      <c r="G55" s="38" t="s">
        <v>12</v>
      </c>
      <c r="H55" s="20">
        <v>12</v>
      </c>
      <c r="I55" s="21" cm="1">
        <f t="array" ref="I55">_xlfn.IFS(NOT(OR($H55=12, $H55=24)), "-", $H55=12, (DATE(YEAR($F55)+1, MONTH($F55), DAY($F55))), $H55=24, (DATE(YEAR($F55)+2, MONTH($F55), DAY($F55))))</f>
        <v>45612</v>
      </c>
      <c r="J55" s="20" t="s">
        <v>12</v>
      </c>
      <c r="K55" s="20">
        <v>2018</v>
      </c>
      <c r="L55" s="20" t="s">
        <v>554</v>
      </c>
      <c r="M55" s="20">
        <v>4064</v>
      </c>
      <c r="N55" s="20"/>
      <c r="O55" s="24" t="s">
        <v>742</v>
      </c>
      <c r="P55" s="24" t="s">
        <v>744</v>
      </c>
      <c r="Q55" s="24" t="s">
        <v>746</v>
      </c>
    </row>
    <row r="56" spans="1:17" ht="20.25" customHeight="1" x14ac:dyDescent="0.4">
      <c r="A56" s="54" t="s">
        <v>243</v>
      </c>
      <c r="B56" s="20" t="s">
        <v>341</v>
      </c>
      <c r="C56" s="20" t="s">
        <v>490</v>
      </c>
      <c r="D56" s="20" t="s">
        <v>787</v>
      </c>
      <c r="E56" s="20" t="s">
        <v>217</v>
      </c>
      <c r="F56" s="21">
        <v>45484</v>
      </c>
      <c r="G56" s="38" t="s">
        <v>12</v>
      </c>
      <c r="H56" s="20">
        <v>12</v>
      </c>
      <c r="I56" s="21" cm="1">
        <f t="array" ref="I56">_xlfn.IFS(NOT(OR($H56=12, $H56=24)), "-", $H56=12, (DATE(YEAR($F56)+1, MONTH($F56), DAY($F56))), $H56=24, (DATE(YEAR($F56)+2, MONTH($F56), DAY($F56))))</f>
        <v>45849</v>
      </c>
      <c r="J56" s="20" t="s">
        <v>12</v>
      </c>
      <c r="K56" s="20">
        <v>2018</v>
      </c>
      <c r="L56" s="20" t="s">
        <v>549</v>
      </c>
      <c r="M56" s="20">
        <v>3137</v>
      </c>
      <c r="N56" s="20"/>
      <c r="O56" s="24" t="s">
        <v>742</v>
      </c>
      <c r="P56" s="24" t="s">
        <v>744</v>
      </c>
      <c r="Q56" s="24" t="s">
        <v>746</v>
      </c>
    </row>
    <row r="57" spans="1:17" ht="20.25" customHeight="1" x14ac:dyDescent="0.4">
      <c r="A57" s="54" t="s">
        <v>244</v>
      </c>
      <c r="B57" s="20" t="s">
        <v>342</v>
      </c>
      <c r="C57" s="20" t="s">
        <v>491</v>
      </c>
      <c r="D57" s="20" t="s">
        <v>787</v>
      </c>
      <c r="E57" s="20" t="s">
        <v>217</v>
      </c>
      <c r="F57" s="21">
        <v>45537</v>
      </c>
      <c r="G57" s="38" t="s">
        <v>1</v>
      </c>
      <c r="H57" s="20">
        <v>12</v>
      </c>
      <c r="I57" s="21" cm="1">
        <f t="array" ref="I57">_xlfn.IFS(NOT(OR($H57=12, $H57=24)), "-", $H57=12, (DATE(YEAR($F57)+1, MONTH($F57), DAY($F57))), $H57=24, (DATE(YEAR($F57)+2, MONTH($F57), DAY($F57))))</f>
        <v>45902</v>
      </c>
      <c r="J57" s="20" t="s">
        <v>526</v>
      </c>
      <c r="K57" s="20">
        <v>2020</v>
      </c>
      <c r="L57" s="20" t="s">
        <v>573</v>
      </c>
      <c r="M57" s="20" t="s">
        <v>638</v>
      </c>
      <c r="N57" s="20"/>
      <c r="O57" s="24" t="s">
        <v>742</v>
      </c>
      <c r="P57" s="24" t="s">
        <v>744</v>
      </c>
      <c r="Q57" s="24" t="s">
        <v>746</v>
      </c>
    </row>
    <row r="58" spans="1:17" ht="20.25" customHeight="1" x14ac:dyDescent="0.4">
      <c r="A58" s="54" t="s">
        <v>245</v>
      </c>
      <c r="B58" s="20">
        <v>179784</v>
      </c>
      <c r="C58" s="20" t="s">
        <v>9</v>
      </c>
      <c r="D58" s="20" t="s">
        <v>787</v>
      </c>
      <c r="E58" s="20" t="s">
        <v>217</v>
      </c>
      <c r="F58" s="57">
        <v>45295</v>
      </c>
      <c r="G58" s="22" t="s">
        <v>1</v>
      </c>
      <c r="H58" s="20">
        <v>12</v>
      </c>
      <c r="I58" s="21" cm="1">
        <f t="array" ref="I58">_xlfn.IFS(NOT(OR($H58=12, $H58=24)), "-", $H58=12, (DATE(YEAR($F58)+1, MONTH($F58), DAY($F58))), $H58=24, (DATE(YEAR($F58)+2, MONTH($F58), DAY($F58))))</f>
        <v>45661</v>
      </c>
      <c r="J58" s="20" t="s">
        <v>10</v>
      </c>
      <c r="K58" s="20">
        <v>2019</v>
      </c>
      <c r="L58" s="20" t="s">
        <v>11</v>
      </c>
      <c r="M58" s="20" t="s">
        <v>639</v>
      </c>
      <c r="N58" s="23"/>
      <c r="O58" s="24" t="s">
        <v>742</v>
      </c>
      <c r="P58" s="24" t="s">
        <v>768</v>
      </c>
      <c r="Q58" s="24" t="s">
        <v>746</v>
      </c>
    </row>
    <row r="59" spans="1:17" ht="20.25" customHeight="1" x14ac:dyDescent="0.4">
      <c r="A59" s="54" t="s">
        <v>246</v>
      </c>
      <c r="B59" s="20">
        <v>179785</v>
      </c>
      <c r="C59" s="20" t="s">
        <v>9</v>
      </c>
      <c r="D59" s="20" t="s">
        <v>787</v>
      </c>
      <c r="E59" s="20" t="s">
        <v>217</v>
      </c>
      <c r="F59" s="21">
        <v>45497</v>
      </c>
      <c r="G59" s="22" t="s">
        <v>1</v>
      </c>
      <c r="H59" s="20">
        <v>12</v>
      </c>
      <c r="I59" s="21" cm="1">
        <f t="array" ref="I59">_xlfn.IFS(NOT(OR($H59=12, $H59=24)), "-", $H59=12, (DATE(YEAR($F59)+1, MONTH($F59), DAY($F59))), $H59=24, (DATE(YEAR($F59)+2, MONTH($F59), DAY($F59))))</f>
        <v>45862</v>
      </c>
      <c r="J59" s="20" t="s">
        <v>10</v>
      </c>
      <c r="K59" s="20">
        <v>2019</v>
      </c>
      <c r="L59" s="20" t="s">
        <v>11</v>
      </c>
      <c r="M59" s="20" t="s">
        <v>657</v>
      </c>
      <c r="N59" s="23"/>
      <c r="O59" s="24" t="s">
        <v>742</v>
      </c>
      <c r="P59" s="24" t="s">
        <v>768</v>
      </c>
      <c r="Q59" s="24" t="s">
        <v>746</v>
      </c>
    </row>
    <row r="60" spans="1:17" ht="20.25" customHeight="1" x14ac:dyDescent="0.4">
      <c r="A60" s="54" t="s">
        <v>247</v>
      </c>
      <c r="B60" s="20" t="s">
        <v>343</v>
      </c>
      <c r="C60" s="20" t="s">
        <v>8</v>
      </c>
      <c r="D60" s="20" t="s">
        <v>787</v>
      </c>
      <c r="E60" s="20" t="s">
        <v>217</v>
      </c>
      <c r="F60" s="21">
        <v>45431</v>
      </c>
      <c r="G60" s="22" t="s">
        <v>12</v>
      </c>
      <c r="H60" s="20">
        <v>24</v>
      </c>
      <c r="I60" s="21" cm="1">
        <f t="array" ref="I60">_xlfn.IFS(NOT(OR($H60=12, $H60=24)), "-", $H60=12, (DATE(YEAR($F60)+1, MONTH($F60), DAY($F60))), $H60=24, (DATE(YEAR($F60)+2, MONTH($F60), DAY($F60))))</f>
        <v>46161</v>
      </c>
      <c r="J60" s="20" t="s">
        <v>12</v>
      </c>
      <c r="K60" s="20">
        <v>2019</v>
      </c>
      <c r="L60" s="20" t="s">
        <v>550</v>
      </c>
      <c r="M60" s="20">
        <v>1036</v>
      </c>
      <c r="N60" s="23"/>
      <c r="O60" s="24" t="s">
        <v>742</v>
      </c>
      <c r="P60" s="24" t="s">
        <v>744</v>
      </c>
      <c r="Q60" s="24" t="s">
        <v>746</v>
      </c>
    </row>
    <row r="61" spans="1:17" ht="20.25" customHeight="1" x14ac:dyDescent="0.4">
      <c r="A61" s="54" t="s">
        <v>248</v>
      </c>
      <c r="B61" s="20" t="s">
        <v>344</v>
      </c>
      <c r="C61" s="20" t="s">
        <v>8</v>
      </c>
      <c r="D61" s="20" t="s">
        <v>787</v>
      </c>
      <c r="E61" s="20" t="s">
        <v>217</v>
      </c>
      <c r="F61" s="21">
        <v>45431</v>
      </c>
      <c r="G61" s="22" t="s">
        <v>12</v>
      </c>
      <c r="H61" s="20">
        <v>24</v>
      </c>
      <c r="I61" s="21" cm="1">
        <f t="array" ref="I61">_xlfn.IFS(NOT(OR($H61=12, $H61=24)), "-", $H61=12, (DATE(YEAR($F61)+1, MONTH($F61), DAY($F61))), $H61=24, (DATE(YEAR($F61)+2, MONTH($F61), DAY($F61))))</f>
        <v>46161</v>
      </c>
      <c r="J61" s="20" t="s">
        <v>12</v>
      </c>
      <c r="K61" s="20">
        <v>2019</v>
      </c>
      <c r="L61" s="20" t="s">
        <v>551</v>
      </c>
      <c r="M61" s="20">
        <v>1075</v>
      </c>
      <c r="N61" s="23"/>
      <c r="O61" s="24" t="s">
        <v>742</v>
      </c>
      <c r="P61" s="24" t="s">
        <v>744</v>
      </c>
      <c r="Q61" s="24" t="s">
        <v>746</v>
      </c>
    </row>
    <row r="62" spans="1:17" ht="20.25" customHeight="1" x14ac:dyDescent="0.4">
      <c r="A62" s="54" t="s">
        <v>249</v>
      </c>
      <c r="B62" s="20" t="s">
        <v>250</v>
      </c>
      <c r="C62" s="30" t="s">
        <v>251</v>
      </c>
      <c r="D62" s="20" t="s">
        <v>787</v>
      </c>
      <c r="E62" s="30" t="s">
        <v>217</v>
      </c>
      <c r="F62" s="21">
        <v>45308</v>
      </c>
      <c r="G62" s="31" t="s">
        <v>12</v>
      </c>
      <c r="H62" s="30">
        <v>12</v>
      </c>
      <c r="I62" s="21" cm="1">
        <f t="array" ref="I62">_xlfn.IFS(NOT(OR($H62=12, $H62=24)), "-", $H62=12, (DATE(YEAR($F62)+1, MONTH($F62), DAY($F62))), $H62=24, (DATE(YEAR($F62)+2, MONTH($F62), DAY($F62))))</f>
        <v>45674</v>
      </c>
      <c r="J62" s="30" t="s">
        <v>12</v>
      </c>
      <c r="K62" s="20">
        <v>2019</v>
      </c>
      <c r="L62" s="30" t="s">
        <v>552</v>
      </c>
      <c r="M62" s="30">
        <v>1047</v>
      </c>
      <c r="N62" s="30"/>
      <c r="O62" s="24" t="s">
        <v>742</v>
      </c>
      <c r="P62" s="24" t="s">
        <v>767</v>
      </c>
      <c r="Q62" s="24" t="s">
        <v>746</v>
      </c>
    </row>
    <row r="63" spans="1:17" s="72" customFormat="1" ht="20.25" customHeight="1" x14ac:dyDescent="0.4">
      <c r="A63" s="54" t="s">
        <v>252</v>
      </c>
      <c r="B63" s="66" t="s">
        <v>253</v>
      </c>
      <c r="C63" s="67" t="s">
        <v>251</v>
      </c>
      <c r="D63" s="20" t="s">
        <v>787</v>
      </c>
      <c r="E63" s="67" t="s">
        <v>217</v>
      </c>
      <c r="F63" s="68">
        <v>44978</v>
      </c>
      <c r="G63" s="69" t="s">
        <v>12</v>
      </c>
      <c r="H63" s="67">
        <v>12</v>
      </c>
      <c r="I63" s="68" cm="1">
        <f t="array" ref="I63">_xlfn.IFS(NOT(OR($H63=12, $H63=24)), "-", $H63=12, (DATE(YEAR($F63)+1, MONTH($F63), DAY($F63))), $H63=24, (DATE(YEAR($F63)+2, MONTH($F63), DAY($F63))))</f>
        <v>45343</v>
      </c>
      <c r="J63" s="70" t="s">
        <v>12</v>
      </c>
      <c r="K63" s="66">
        <v>2019</v>
      </c>
      <c r="L63" s="67" t="s">
        <v>553</v>
      </c>
      <c r="M63" s="67">
        <v>1028</v>
      </c>
      <c r="N63" s="71"/>
      <c r="O63" s="67" t="s">
        <v>742</v>
      </c>
      <c r="P63" s="67" t="s">
        <v>767</v>
      </c>
      <c r="Q63" s="67" t="s">
        <v>746</v>
      </c>
    </row>
    <row r="64" spans="1:17" ht="20.25" customHeight="1" x14ac:dyDescent="0.4">
      <c r="A64" s="54" t="s">
        <v>254</v>
      </c>
      <c r="B64" s="20" t="s">
        <v>345</v>
      </c>
      <c r="C64" s="24" t="s">
        <v>38</v>
      </c>
      <c r="D64" s="20" t="s">
        <v>787</v>
      </c>
      <c r="E64" s="24" t="s">
        <v>217</v>
      </c>
      <c r="F64" s="21">
        <v>45338</v>
      </c>
      <c r="G64" s="40" t="s">
        <v>12</v>
      </c>
      <c r="H64" s="24">
        <v>12</v>
      </c>
      <c r="I64" s="21" cm="1">
        <f t="array" ref="I64">_xlfn.IFS(NOT(OR($H64=12, $H64=24)), "-", $H64=12, (DATE(YEAR($F64)+1, MONTH($F64), DAY($F64))), $H64=24, (DATE(YEAR($F64)+2, MONTH($F64), DAY($F64))))</f>
        <v>45704</v>
      </c>
      <c r="J64" s="41" t="s">
        <v>12</v>
      </c>
      <c r="K64" s="20">
        <v>2019</v>
      </c>
      <c r="L64" s="24" t="s">
        <v>566</v>
      </c>
      <c r="M64" s="24">
        <v>1591</v>
      </c>
      <c r="N64" s="35"/>
      <c r="O64" s="24" t="s">
        <v>742</v>
      </c>
      <c r="P64" s="24" t="s">
        <v>744</v>
      </c>
      <c r="Q64" s="24" t="s">
        <v>746</v>
      </c>
    </row>
    <row r="65" spans="1:17" ht="20.25" customHeight="1" x14ac:dyDescent="0.4">
      <c r="A65" s="54" t="s">
        <v>255</v>
      </c>
      <c r="B65" s="20" t="s">
        <v>346</v>
      </c>
      <c r="C65" s="24" t="s">
        <v>256</v>
      </c>
      <c r="D65" s="20" t="s">
        <v>787</v>
      </c>
      <c r="E65" s="24" t="s">
        <v>217</v>
      </c>
      <c r="F65" s="21">
        <v>45483</v>
      </c>
      <c r="G65" s="40" t="s">
        <v>12</v>
      </c>
      <c r="H65" s="24">
        <v>12</v>
      </c>
      <c r="I65" s="21" cm="1">
        <f t="array" ref="I65">_xlfn.IFS(NOT(OR($H65=12, $H65=24)), "-", $H65=12, (DATE(YEAR($F65)+1, MONTH($F65), DAY($F65))), $H65=24, (DATE(YEAR($F65)+2, MONTH($F65), DAY($F65))))</f>
        <v>45848</v>
      </c>
      <c r="J65" s="41" t="s">
        <v>12</v>
      </c>
      <c r="K65" s="20">
        <v>2019</v>
      </c>
      <c r="L65" s="24" t="s">
        <v>554</v>
      </c>
      <c r="M65" s="24">
        <v>4066</v>
      </c>
      <c r="N65" s="35"/>
      <c r="O65" s="24" t="s">
        <v>742</v>
      </c>
      <c r="P65" s="24" t="s">
        <v>744</v>
      </c>
      <c r="Q65" s="24" t="s">
        <v>746</v>
      </c>
    </row>
    <row r="66" spans="1:17" ht="20.25" customHeight="1" x14ac:dyDescent="0.4">
      <c r="A66" s="54" t="s">
        <v>257</v>
      </c>
      <c r="B66" s="20" t="s">
        <v>347</v>
      </c>
      <c r="C66" s="24" t="s">
        <v>258</v>
      </c>
      <c r="D66" s="20" t="s">
        <v>787</v>
      </c>
      <c r="E66" s="24" t="s">
        <v>217</v>
      </c>
      <c r="F66" s="21">
        <v>45552</v>
      </c>
      <c r="G66" s="40" t="s">
        <v>12</v>
      </c>
      <c r="H66" s="24">
        <v>12</v>
      </c>
      <c r="I66" s="21" cm="1">
        <f t="array" ref="I66">_xlfn.IFS(NOT(OR($H66=12, $H66=24)), "-", $H66=12, (DATE(YEAR($F66)+1, MONTH($F66), DAY($F66))), $H66=24, (DATE(YEAR($F66)+2, MONTH($F66), DAY($F66))))</f>
        <v>45917</v>
      </c>
      <c r="J66" s="41" t="s">
        <v>12</v>
      </c>
      <c r="K66" s="20">
        <v>2019</v>
      </c>
      <c r="L66" s="24" t="s">
        <v>549</v>
      </c>
      <c r="M66" s="24">
        <v>3140</v>
      </c>
      <c r="N66" s="35"/>
      <c r="O66" s="24" t="s">
        <v>742</v>
      </c>
      <c r="P66" s="24" t="s">
        <v>744</v>
      </c>
      <c r="Q66" s="24" t="s">
        <v>746</v>
      </c>
    </row>
    <row r="67" spans="1:17" ht="20.25" customHeight="1" x14ac:dyDescent="0.4">
      <c r="A67" s="54" t="s">
        <v>348</v>
      </c>
      <c r="B67" s="20" t="s">
        <v>349</v>
      </c>
      <c r="C67" s="24" t="s">
        <v>51</v>
      </c>
      <c r="D67" s="20" t="s">
        <v>787</v>
      </c>
      <c r="E67" s="24" t="s">
        <v>217</v>
      </c>
      <c r="F67" s="21">
        <v>45538</v>
      </c>
      <c r="G67" s="40" t="s">
        <v>12</v>
      </c>
      <c r="H67" s="24">
        <v>12</v>
      </c>
      <c r="I67" s="21" cm="1">
        <f t="array" ref="I67">_xlfn.IFS(NOT(OR($H67=12, $H67=24)), "-", $H67=12, (DATE(YEAR($F67)+1, MONTH($F67), DAY($F67))), $H67=24, (DATE(YEAR($F67)+2, MONTH($F67), DAY($F67))))</f>
        <v>45903</v>
      </c>
      <c r="J67" s="41" t="s">
        <v>12</v>
      </c>
      <c r="K67" s="20">
        <v>2019</v>
      </c>
      <c r="L67" s="24" t="s">
        <v>52</v>
      </c>
      <c r="M67" s="24">
        <v>7545</v>
      </c>
      <c r="N67" s="35"/>
      <c r="O67" s="24" t="s">
        <v>742</v>
      </c>
      <c r="P67" s="24" t="s">
        <v>744</v>
      </c>
      <c r="Q67" s="24" t="s">
        <v>746</v>
      </c>
    </row>
    <row r="68" spans="1:17" ht="20.25" customHeight="1" x14ac:dyDescent="0.4">
      <c r="A68" s="54" t="s">
        <v>259</v>
      </c>
      <c r="B68" s="20" t="s">
        <v>350</v>
      </c>
      <c r="C68" s="20" t="s">
        <v>260</v>
      </c>
      <c r="D68" s="20" t="s">
        <v>787</v>
      </c>
      <c r="E68" s="20" t="s">
        <v>217</v>
      </c>
      <c r="F68" s="21">
        <v>45159</v>
      </c>
      <c r="G68" s="22" t="s">
        <v>12</v>
      </c>
      <c r="H68" s="20">
        <v>24</v>
      </c>
      <c r="I68" s="21" cm="1">
        <f t="array" ref="I68">_xlfn.IFS(NOT(OR($H68=12, $H68=24)), "-", $H68=12, (DATE(YEAR($F68)+1, MONTH($F68), DAY($F68))), $H68=24, (DATE(YEAR($F68)+2, MONTH($F68), DAY($F68))))</f>
        <v>45890</v>
      </c>
      <c r="J68" s="20" t="s">
        <v>12</v>
      </c>
      <c r="K68" s="20">
        <v>2019</v>
      </c>
      <c r="L68" s="20" t="s">
        <v>555</v>
      </c>
      <c r="M68" s="20">
        <v>1011</v>
      </c>
      <c r="N68" s="20"/>
      <c r="O68" s="24" t="s">
        <v>742</v>
      </c>
      <c r="P68" s="24" t="s">
        <v>744</v>
      </c>
      <c r="Q68" s="24" t="s">
        <v>746</v>
      </c>
    </row>
    <row r="69" spans="1:17" ht="20.25" customHeight="1" x14ac:dyDescent="0.4">
      <c r="A69" s="54" t="s">
        <v>261</v>
      </c>
      <c r="B69" s="20" t="s">
        <v>345</v>
      </c>
      <c r="C69" s="20" t="s">
        <v>492</v>
      </c>
      <c r="D69" s="20" t="s">
        <v>787</v>
      </c>
      <c r="E69" s="20" t="s">
        <v>522</v>
      </c>
      <c r="F69" s="21" t="s">
        <v>320</v>
      </c>
      <c r="G69" s="22" t="s">
        <v>320</v>
      </c>
      <c r="H69" s="20" t="s">
        <v>320</v>
      </c>
      <c r="I69" s="21" t="str" cm="1">
        <f t="array" ref="I69">_xlfn.IFS(NOT(OR($H69=12, $H69=24)), "-", $H69=12, (DATE(YEAR($F69)+1, MONTH($F69), DAY($F69))), $H69=24, (DATE(YEAR($F69)+2, MONTH($F69), DAY($F69))))</f>
        <v>-</v>
      </c>
      <c r="J69" s="20" t="s">
        <v>12</v>
      </c>
      <c r="K69" s="20" t="s">
        <v>531</v>
      </c>
      <c r="L69" s="20" t="s">
        <v>574</v>
      </c>
      <c r="M69" s="20" t="s">
        <v>640</v>
      </c>
      <c r="N69" s="20"/>
      <c r="O69" s="24" t="s">
        <v>742</v>
      </c>
      <c r="P69" s="24" t="s">
        <v>745</v>
      </c>
      <c r="Q69" s="24" t="s">
        <v>746</v>
      </c>
    </row>
    <row r="70" spans="1:17" ht="20.25" customHeight="1" x14ac:dyDescent="0.4">
      <c r="A70" s="54" t="s">
        <v>262</v>
      </c>
      <c r="B70" s="20" t="s">
        <v>351</v>
      </c>
      <c r="C70" s="20" t="s">
        <v>263</v>
      </c>
      <c r="D70" s="20" t="s">
        <v>787</v>
      </c>
      <c r="E70" s="20" t="s">
        <v>522</v>
      </c>
      <c r="F70" s="21" t="s">
        <v>320</v>
      </c>
      <c r="G70" s="22" t="s">
        <v>320</v>
      </c>
      <c r="H70" s="20" t="s">
        <v>320</v>
      </c>
      <c r="I70" s="21" t="str" cm="1">
        <f t="array" ref="I70">_xlfn.IFS(NOT(OR($H70=12, $H70=24)), "-", $H70=12, (DATE(YEAR($F70)+1, MONTH($F70), DAY($F70))), $H70=24, (DATE(YEAR($F70)+2, MONTH($F70), DAY($F70))))</f>
        <v>-</v>
      </c>
      <c r="J70" s="20" t="s">
        <v>12</v>
      </c>
      <c r="K70" s="20">
        <v>2019</v>
      </c>
      <c r="L70" s="20" t="s">
        <v>556</v>
      </c>
      <c r="M70" s="20" t="s">
        <v>320</v>
      </c>
      <c r="N70" s="20"/>
      <c r="O70" s="24" t="s">
        <v>742</v>
      </c>
      <c r="P70" s="24" t="s">
        <v>745</v>
      </c>
      <c r="Q70" s="24" t="s">
        <v>746</v>
      </c>
    </row>
    <row r="71" spans="1:17" ht="20.25" customHeight="1" x14ac:dyDescent="0.4">
      <c r="A71" s="54" t="s">
        <v>264</v>
      </c>
      <c r="B71" s="20" t="s">
        <v>265</v>
      </c>
      <c r="C71" s="20" t="s">
        <v>493</v>
      </c>
      <c r="D71" s="20" t="s">
        <v>787</v>
      </c>
      <c r="E71" s="20" t="s">
        <v>217</v>
      </c>
      <c r="F71" s="21">
        <v>45376</v>
      </c>
      <c r="G71" s="22" t="s">
        <v>1</v>
      </c>
      <c r="H71" s="20">
        <v>12</v>
      </c>
      <c r="I71" s="21" cm="1">
        <f t="array" ref="I71">_xlfn.IFS(NOT(OR($H71=12, $H71=24)), "-", $H71=12, (DATE(YEAR($F71)+1, MONTH($F71), DAY($F71))), $H71=24, (DATE(YEAR($F71)+2, MONTH($F71), DAY($F71))))</f>
        <v>45741</v>
      </c>
      <c r="J71" s="20" t="s">
        <v>66</v>
      </c>
      <c r="K71" s="20">
        <v>2020</v>
      </c>
      <c r="L71" s="20" t="s">
        <v>557</v>
      </c>
      <c r="M71" s="20">
        <v>103154</v>
      </c>
      <c r="N71" s="20"/>
      <c r="O71" s="24" t="s">
        <v>742</v>
      </c>
      <c r="P71" s="24" t="s">
        <v>744</v>
      </c>
      <c r="Q71" s="24" t="s">
        <v>746</v>
      </c>
    </row>
    <row r="72" spans="1:17" ht="20.25" customHeight="1" x14ac:dyDescent="0.4">
      <c r="A72" s="54" t="s">
        <v>266</v>
      </c>
      <c r="B72" s="20" t="s">
        <v>267</v>
      </c>
      <c r="C72" s="20" t="s">
        <v>32</v>
      </c>
      <c r="D72" s="20" t="s">
        <v>787</v>
      </c>
      <c r="E72" s="20" t="s">
        <v>217</v>
      </c>
      <c r="F72" s="21">
        <v>45497</v>
      </c>
      <c r="G72" s="22" t="s">
        <v>1</v>
      </c>
      <c r="H72" s="20">
        <v>12</v>
      </c>
      <c r="I72" s="21" cm="1">
        <f t="array" ref="I72">_xlfn.IFS(NOT(OR($H72=12, $H72=24)), "-", $H72=12, (DATE(YEAR($F72)+1, MONTH($F72), DAY($F72))), $H72=24, (DATE(YEAR($F72)+2, MONTH($F72), DAY($F72))))</f>
        <v>45862</v>
      </c>
      <c r="J72" s="20" t="s">
        <v>529</v>
      </c>
      <c r="K72" s="20">
        <v>2020</v>
      </c>
      <c r="L72" s="20" t="s">
        <v>81</v>
      </c>
      <c r="M72" s="20" t="s">
        <v>658</v>
      </c>
      <c r="N72" s="20" t="s">
        <v>716</v>
      </c>
      <c r="O72" s="24" t="s">
        <v>742</v>
      </c>
      <c r="P72" s="24" t="s">
        <v>744</v>
      </c>
      <c r="Q72" s="24" t="s">
        <v>746</v>
      </c>
    </row>
    <row r="73" spans="1:17" ht="20.25" customHeight="1" x14ac:dyDescent="0.4">
      <c r="A73" s="54" t="s">
        <v>268</v>
      </c>
      <c r="B73" s="20" t="s">
        <v>269</v>
      </c>
      <c r="C73" s="20" t="s">
        <v>32</v>
      </c>
      <c r="D73" s="20" t="s">
        <v>787</v>
      </c>
      <c r="E73" s="20" t="s">
        <v>217</v>
      </c>
      <c r="F73" s="21">
        <v>45497</v>
      </c>
      <c r="G73" s="22" t="s">
        <v>1</v>
      </c>
      <c r="H73" s="20">
        <v>12</v>
      </c>
      <c r="I73" s="21" cm="1">
        <f t="array" ref="I73">_xlfn.IFS(NOT(OR($H73=12, $H73=24)), "-", $H73=12, (DATE(YEAR($F73)+1, MONTH($F73), DAY($F73))), $H73=24, (DATE(YEAR($F73)+2, MONTH($F73), DAY($F73))))</f>
        <v>45862</v>
      </c>
      <c r="J73" s="20" t="s">
        <v>529</v>
      </c>
      <c r="K73" s="20">
        <v>2020</v>
      </c>
      <c r="L73" s="20" t="s">
        <v>77</v>
      </c>
      <c r="M73" s="20" t="s">
        <v>659</v>
      </c>
      <c r="N73" s="20" t="s">
        <v>716</v>
      </c>
      <c r="O73" s="24" t="s">
        <v>742</v>
      </c>
      <c r="P73" s="24" t="s">
        <v>744</v>
      </c>
      <c r="Q73" s="24" t="s">
        <v>746</v>
      </c>
    </row>
    <row r="74" spans="1:17" ht="20.25" customHeight="1" x14ac:dyDescent="0.4">
      <c r="A74" s="54" t="s">
        <v>352</v>
      </c>
      <c r="B74" s="20" t="s">
        <v>270</v>
      </c>
      <c r="C74" s="20" t="s">
        <v>32</v>
      </c>
      <c r="D74" s="20" t="s">
        <v>787</v>
      </c>
      <c r="E74" s="20" t="s">
        <v>217</v>
      </c>
      <c r="F74" s="21">
        <v>45497</v>
      </c>
      <c r="G74" s="22" t="s">
        <v>1</v>
      </c>
      <c r="H74" s="20">
        <v>12</v>
      </c>
      <c r="I74" s="21" cm="1">
        <f t="array" ref="I74">_xlfn.IFS(NOT(OR($H74=12, $H74=24)), "-", $H74=12, (DATE(YEAR($F74)+1, MONTH($F74), DAY($F74))), $H74=24, (DATE(YEAR($F74)+2, MONTH($F74), DAY($F74))))</f>
        <v>45862</v>
      </c>
      <c r="J74" s="20" t="s">
        <v>529</v>
      </c>
      <c r="K74" s="20">
        <v>2020</v>
      </c>
      <c r="L74" s="20" t="s">
        <v>77</v>
      </c>
      <c r="M74" s="20" t="s">
        <v>660</v>
      </c>
      <c r="N74" s="20" t="s">
        <v>716</v>
      </c>
      <c r="O74" s="24" t="s">
        <v>742</v>
      </c>
      <c r="P74" s="24" t="s">
        <v>744</v>
      </c>
      <c r="Q74" s="24" t="s">
        <v>746</v>
      </c>
    </row>
    <row r="75" spans="1:17" ht="20.25" customHeight="1" x14ac:dyDescent="0.4">
      <c r="A75" s="54" t="s">
        <v>353</v>
      </c>
      <c r="B75" s="24" t="s">
        <v>271</v>
      </c>
      <c r="C75" s="24" t="s">
        <v>32</v>
      </c>
      <c r="D75" s="20" t="s">
        <v>787</v>
      </c>
      <c r="E75" s="39" t="s">
        <v>217</v>
      </c>
      <c r="F75" s="21">
        <v>45498</v>
      </c>
      <c r="G75" s="41" t="s">
        <v>1</v>
      </c>
      <c r="H75" s="42">
        <v>12</v>
      </c>
      <c r="I75" s="21" cm="1">
        <f t="array" ref="I75">_xlfn.IFS(NOT(OR($H75=12, $H75=24)), "-", $H75=12, (DATE(YEAR($F75)+1, MONTH($F75), DAY($F75))), $H75=24, (DATE(YEAR($F75)+2, MONTH($F75), DAY($F75))))</f>
        <v>45863</v>
      </c>
      <c r="J75" s="41" t="s">
        <v>529</v>
      </c>
      <c r="K75" s="20">
        <v>2020</v>
      </c>
      <c r="L75" s="24" t="s">
        <v>124</v>
      </c>
      <c r="M75" s="35" t="s">
        <v>661</v>
      </c>
      <c r="N75" s="24" t="s">
        <v>716</v>
      </c>
      <c r="O75" s="24" t="s">
        <v>742</v>
      </c>
      <c r="P75" s="24" t="s">
        <v>744</v>
      </c>
      <c r="Q75" s="24" t="s">
        <v>746</v>
      </c>
    </row>
    <row r="76" spans="1:17" ht="20.25" customHeight="1" x14ac:dyDescent="0.4">
      <c r="A76" s="54" t="s">
        <v>354</v>
      </c>
      <c r="B76" s="20" t="s">
        <v>355</v>
      </c>
      <c r="C76" s="24" t="s">
        <v>494</v>
      </c>
      <c r="D76" s="20" t="s">
        <v>787</v>
      </c>
      <c r="E76" s="39" t="s">
        <v>217</v>
      </c>
      <c r="F76" s="21">
        <v>45307</v>
      </c>
      <c r="G76" s="41" t="s">
        <v>12</v>
      </c>
      <c r="H76" s="42">
        <v>12</v>
      </c>
      <c r="I76" s="21" cm="1">
        <f t="array" ref="I76">_xlfn.IFS(NOT(OR($H76=12, $H76=24)), "-", $H76=12, (DATE(YEAR($F76)+1, MONTH($F76), DAY($F76))), $H76=24, (DATE(YEAR($F76)+2, MONTH($F76), DAY($F76))))</f>
        <v>45673</v>
      </c>
      <c r="J76" s="41" t="s">
        <v>12</v>
      </c>
      <c r="K76" s="20">
        <v>2020</v>
      </c>
      <c r="L76" s="24" t="s">
        <v>575</v>
      </c>
      <c r="M76" s="35">
        <v>9493</v>
      </c>
      <c r="N76" s="24"/>
      <c r="O76" s="24" t="s">
        <v>742</v>
      </c>
      <c r="P76" s="24" t="s">
        <v>744</v>
      </c>
      <c r="Q76" s="24" t="s">
        <v>746</v>
      </c>
    </row>
    <row r="77" spans="1:17" s="72" customFormat="1" ht="20.25" customHeight="1" x14ac:dyDescent="0.4">
      <c r="A77" s="54" t="s">
        <v>356</v>
      </c>
      <c r="B77" s="66">
        <v>209979</v>
      </c>
      <c r="C77" s="67" t="s">
        <v>495</v>
      </c>
      <c r="D77" s="20" t="s">
        <v>787</v>
      </c>
      <c r="E77" s="66" t="s">
        <v>217</v>
      </c>
      <c r="F77" s="68">
        <v>45496</v>
      </c>
      <c r="G77" s="73" t="s">
        <v>1</v>
      </c>
      <c r="H77" s="66">
        <v>12</v>
      </c>
      <c r="I77" s="68" cm="1">
        <f t="array" ref="I77">_xlfn.IFS(NOT(OR($H77=12, $H77=24)), "-", $H77=12, (DATE(YEAR($F77)+1, MONTH($F77), DAY($F77))), $H77=24, (DATE(YEAR($F77)+2, MONTH($F77), DAY($F77))))</f>
        <v>45861</v>
      </c>
      <c r="J77" s="70" t="s">
        <v>528</v>
      </c>
      <c r="K77" s="66">
        <v>2021</v>
      </c>
      <c r="L77" s="66" t="s">
        <v>576</v>
      </c>
      <c r="M77" s="66" t="s">
        <v>641</v>
      </c>
      <c r="N77" s="66"/>
      <c r="O77" s="67" t="s">
        <v>742</v>
      </c>
      <c r="P77" s="67" t="s">
        <v>768</v>
      </c>
      <c r="Q77" s="67" t="s">
        <v>746</v>
      </c>
    </row>
    <row r="78" spans="1:17" s="72" customFormat="1" ht="20.25" customHeight="1" x14ac:dyDescent="0.4">
      <c r="A78" s="54" t="s">
        <v>272</v>
      </c>
      <c r="B78" s="66">
        <v>209980</v>
      </c>
      <c r="C78" s="67" t="s">
        <v>495</v>
      </c>
      <c r="D78" s="20" t="s">
        <v>787</v>
      </c>
      <c r="E78" s="66" t="s">
        <v>217</v>
      </c>
      <c r="F78" s="68">
        <v>45496</v>
      </c>
      <c r="G78" s="70" t="s">
        <v>1</v>
      </c>
      <c r="H78" s="66">
        <v>12</v>
      </c>
      <c r="I78" s="68" cm="1">
        <f t="array" ref="I78">_xlfn.IFS(NOT(OR($H78=12, $H78=24)), "-", $H78=12, (DATE(YEAR($F78)+1, MONTH($F78), DAY($F78))), $H78=24, (DATE(YEAR($F78)+2, MONTH($F78), DAY($F78))))</f>
        <v>45861</v>
      </c>
      <c r="J78" s="70" t="s">
        <v>528</v>
      </c>
      <c r="K78" s="66">
        <v>2021</v>
      </c>
      <c r="L78" s="66" t="s">
        <v>576</v>
      </c>
      <c r="M78" s="66" t="s">
        <v>642</v>
      </c>
      <c r="N78" s="74"/>
      <c r="O78" s="67" t="s">
        <v>742</v>
      </c>
      <c r="P78" s="67" t="s">
        <v>768</v>
      </c>
      <c r="Q78" s="67" t="s">
        <v>746</v>
      </c>
    </row>
    <row r="79" spans="1:17" ht="20.25" customHeight="1" x14ac:dyDescent="0.4">
      <c r="A79" s="54" t="s">
        <v>357</v>
      </c>
      <c r="B79" s="20">
        <v>209981</v>
      </c>
      <c r="C79" s="24" t="s">
        <v>496</v>
      </c>
      <c r="D79" s="20" t="s">
        <v>787</v>
      </c>
      <c r="E79" s="20" t="s">
        <v>217</v>
      </c>
      <c r="F79" s="21">
        <v>45498</v>
      </c>
      <c r="G79" s="41" t="s">
        <v>1</v>
      </c>
      <c r="H79" s="20">
        <v>12</v>
      </c>
      <c r="I79" s="21" cm="1">
        <f t="array" ref="I79">_xlfn.IFS(NOT(OR($H79=12, $H79=24)), "-", $H79=12, (DATE(YEAR($F79)+1, MONTH($F79), DAY($F79))), $H79=24, (DATE(YEAR($F79)+2, MONTH($F79), DAY($F79))))</f>
        <v>45863</v>
      </c>
      <c r="J79" s="41" t="s">
        <v>66</v>
      </c>
      <c r="K79" s="20">
        <v>2021</v>
      </c>
      <c r="L79" s="20" t="s">
        <v>577</v>
      </c>
      <c r="M79" s="20">
        <v>104520</v>
      </c>
      <c r="N79" s="20" t="s">
        <v>717</v>
      </c>
      <c r="O79" s="24" t="s">
        <v>742</v>
      </c>
      <c r="P79" s="24" t="s">
        <v>744</v>
      </c>
      <c r="Q79" s="24" t="s">
        <v>746</v>
      </c>
    </row>
    <row r="80" spans="1:17" ht="20.25" customHeight="1" x14ac:dyDescent="0.4">
      <c r="A80" s="54" t="s">
        <v>273</v>
      </c>
      <c r="B80" s="20">
        <v>209982</v>
      </c>
      <c r="C80" s="24" t="s">
        <v>85</v>
      </c>
      <c r="D80" s="20" t="s">
        <v>787</v>
      </c>
      <c r="E80" s="20" t="s">
        <v>217</v>
      </c>
      <c r="F80" s="21">
        <v>45498</v>
      </c>
      <c r="G80" s="41" t="s">
        <v>1</v>
      </c>
      <c r="H80" s="20">
        <v>12</v>
      </c>
      <c r="I80" s="21" cm="1">
        <f t="array" ref="I80">_xlfn.IFS(NOT(OR($H80=12, $H80=24)), "-", $H80=12, (DATE(YEAR($F80)+1, MONTH($F80), DAY($F80))), $H80=24, (DATE(YEAR($F80)+2, MONTH($F80), DAY($F80))))</f>
        <v>45863</v>
      </c>
      <c r="J80" s="41" t="s">
        <v>66</v>
      </c>
      <c r="K80" s="20">
        <v>2021</v>
      </c>
      <c r="L80" s="20" t="s">
        <v>577</v>
      </c>
      <c r="M80" s="20">
        <v>104521</v>
      </c>
      <c r="N80" s="20" t="s">
        <v>717</v>
      </c>
      <c r="O80" s="24" t="s">
        <v>742</v>
      </c>
      <c r="P80" s="24" t="s">
        <v>767</v>
      </c>
      <c r="Q80" s="24" t="s">
        <v>746</v>
      </c>
    </row>
    <row r="81" spans="1:17" ht="20.25" customHeight="1" x14ac:dyDescent="0.4">
      <c r="A81" s="54" t="s">
        <v>274</v>
      </c>
      <c r="B81" s="20" t="s">
        <v>358</v>
      </c>
      <c r="C81" s="24" t="s">
        <v>497</v>
      </c>
      <c r="D81" s="20" t="s">
        <v>787</v>
      </c>
      <c r="E81" s="20" t="s">
        <v>217</v>
      </c>
      <c r="F81" s="21">
        <v>45503</v>
      </c>
      <c r="G81" s="41" t="s">
        <v>1</v>
      </c>
      <c r="H81" s="20">
        <v>12</v>
      </c>
      <c r="I81" s="21" cm="1">
        <f t="array" ref="I81">_xlfn.IFS(NOT(OR($H81=12, $H81=24)), "-", $H81=12, (DATE(YEAR($F81)+1, MONTH($F81), DAY($F81))), $H81=24, (DATE(YEAR($F81)+2, MONTH($F81), DAY($F81))))</f>
        <v>45868</v>
      </c>
      <c r="J81" s="41" t="s">
        <v>529</v>
      </c>
      <c r="K81" s="20">
        <v>2021</v>
      </c>
      <c r="L81" s="43" t="s">
        <v>564</v>
      </c>
      <c r="M81" s="43" t="s">
        <v>643</v>
      </c>
      <c r="N81" s="24"/>
      <c r="O81" s="24" t="s">
        <v>742</v>
      </c>
      <c r="P81" s="24" t="s">
        <v>768</v>
      </c>
      <c r="Q81" s="24" t="s">
        <v>746</v>
      </c>
    </row>
    <row r="82" spans="1:17" ht="20.25" customHeight="1" x14ac:dyDescent="0.4">
      <c r="A82" s="54" t="s">
        <v>359</v>
      </c>
      <c r="B82" s="20">
        <v>209429</v>
      </c>
      <c r="C82" s="24" t="s">
        <v>498</v>
      </c>
      <c r="D82" s="20" t="s">
        <v>787</v>
      </c>
      <c r="E82" s="20" t="s">
        <v>523</v>
      </c>
      <c r="F82" s="21" t="s">
        <v>320</v>
      </c>
      <c r="G82" s="41"/>
      <c r="H82" s="20"/>
      <c r="I82" s="21" t="str" cm="1">
        <f t="array" ref="I82">_xlfn.IFS(NOT(OR($H82=12, $H82=24)), "-", $H82=12, (DATE(YEAR($F82)+1, MONTH($F82), DAY($F82))), $H82=24, (DATE(YEAR($F82)+2, MONTH($F82), DAY($F82))))</f>
        <v>-</v>
      </c>
      <c r="J82" s="41" t="s">
        <v>529</v>
      </c>
      <c r="K82" s="20">
        <v>2021</v>
      </c>
      <c r="L82" s="20" t="s">
        <v>578</v>
      </c>
      <c r="M82" s="20" t="s">
        <v>644</v>
      </c>
      <c r="N82" s="20"/>
      <c r="O82" s="24" t="s">
        <v>742</v>
      </c>
      <c r="P82" s="24" t="s">
        <v>745</v>
      </c>
      <c r="Q82" s="24" t="s">
        <v>746</v>
      </c>
    </row>
    <row r="83" spans="1:17" ht="20.25" customHeight="1" x14ac:dyDescent="0.4">
      <c r="A83" s="54" t="s">
        <v>360</v>
      </c>
      <c r="B83" s="20">
        <v>209430</v>
      </c>
      <c r="C83" s="24" t="s">
        <v>499</v>
      </c>
      <c r="D83" s="20" t="s">
        <v>787</v>
      </c>
      <c r="E83" s="20" t="s">
        <v>217</v>
      </c>
      <c r="F83" s="21">
        <v>45503</v>
      </c>
      <c r="G83" s="41" t="s">
        <v>1</v>
      </c>
      <c r="H83" s="20">
        <v>12</v>
      </c>
      <c r="I83" s="21" cm="1">
        <f t="array" ref="I83">_xlfn.IFS(NOT(OR($H83=12, $H83=24)), "-", $H83=12, (DATE(YEAR($F83)+1, MONTH($F83), DAY($F83))), $H83=24, (DATE(YEAR($F83)+2, MONTH($F83), DAY($F83))))</f>
        <v>45868</v>
      </c>
      <c r="J83" s="20" t="s">
        <v>529</v>
      </c>
      <c r="K83" s="20">
        <v>2021</v>
      </c>
      <c r="L83" s="20" t="s">
        <v>579</v>
      </c>
      <c r="M83" s="20" t="s">
        <v>662</v>
      </c>
      <c r="N83" s="20"/>
      <c r="O83" s="24" t="s">
        <v>742</v>
      </c>
      <c r="P83" s="24" t="s">
        <v>768</v>
      </c>
      <c r="Q83" s="24" t="s">
        <v>746</v>
      </c>
    </row>
    <row r="84" spans="1:17" ht="20.25" customHeight="1" x14ac:dyDescent="0.4">
      <c r="A84" s="54" t="s">
        <v>361</v>
      </c>
      <c r="B84" s="20">
        <v>209431</v>
      </c>
      <c r="C84" s="24" t="s">
        <v>499</v>
      </c>
      <c r="D84" s="20" t="s">
        <v>787</v>
      </c>
      <c r="E84" s="20" t="s">
        <v>217</v>
      </c>
      <c r="F84" s="21">
        <v>45503</v>
      </c>
      <c r="G84" s="41" t="s">
        <v>1</v>
      </c>
      <c r="H84" s="20">
        <v>12</v>
      </c>
      <c r="I84" s="21" cm="1">
        <f t="array" ref="I84">_xlfn.IFS(NOT(OR($H84=12, $H84=24)), "-", $H84=12, (DATE(YEAR($F84)+1, MONTH($F84), DAY($F84))), $H84=24, (DATE(YEAR($F84)+2, MONTH($F84), DAY($F84))))</f>
        <v>45868</v>
      </c>
      <c r="J84" s="20" t="s">
        <v>529</v>
      </c>
      <c r="K84" s="20">
        <v>2021</v>
      </c>
      <c r="L84" s="20" t="s">
        <v>579</v>
      </c>
      <c r="M84" s="20" t="s">
        <v>663</v>
      </c>
      <c r="N84" s="20"/>
      <c r="O84" s="24" t="s">
        <v>742</v>
      </c>
      <c r="P84" s="24" t="s">
        <v>768</v>
      </c>
      <c r="Q84" s="24" t="s">
        <v>746</v>
      </c>
    </row>
    <row r="85" spans="1:17" ht="20.25" customHeight="1" x14ac:dyDescent="0.4">
      <c r="A85" s="54" t="s">
        <v>362</v>
      </c>
      <c r="B85" s="20" t="s">
        <v>275</v>
      </c>
      <c r="C85" s="24" t="s">
        <v>59</v>
      </c>
      <c r="D85" s="20" t="s">
        <v>787</v>
      </c>
      <c r="E85" s="20" t="s">
        <v>217</v>
      </c>
      <c r="F85" s="21">
        <v>45496</v>
      </c>
      <c r="G85" s="41" t="s">
        <v>1</v>
      </c>
      <c r="H85" s="20">
        <v>12</v>
      </c>
      <c r="I85" s="21" cm="1">
        <f t="array" ref="I85">_xlfn.IFS(NOT(OR($H85=12, $H85=24)), "-", $H85=12, (DATE(YEAR($F85)+1, MONTH($F85), DAY($F85))), $H85=24, (DATE(YEAR($F85)+2, MONTH($F85), DAY($F85))))</f>
        <v>45861</v>
      </c>
      <c r="J85" s="20"/>
      <c r="K85" s="20">
        <v>2020</v>
      </c>
      <c r="L85" s="20" t="s">
        <v>580</v>
      </c>
      <c r="M85" s="20">
        <v>1</v>
      </c>
      <c r="N85" s="20" t="s">
        <v>718</v>
      </c>
      <c r="O85" s="24" t="s">
        <v>742</v>
      </c>
      <c r="P85" s="24" t="s">
        <v>744</v>
      </c>
      <c r="Q85" s="24" t="s">
        <v>746</v>
      </c>
    </row>
    <row r="86" spans="1:17" ht="20.25" customHeight="1" x14ac:dyDescent="0.4">
      <c r="A86" s="54" t="s">
        <v>363</v>
      </c>
      <c r="B86" s="20" t="s">
        <v>275</v>
      </c>
      <c r="C86" s="20" t="s">
        <v>251</v>
      </c>
      <c r="D86" s="20" t="s">
        <v>787</v>
      </c>
      <c r="E86" s="20" t="s">
        <v>217</v>
      </c>
      <c r="F86" s="21">
        <v>45341</v>
      </c>
      <c r="G86" s="22" t="s">
        <v>12</v>
      </c>
      <c r="H86" s="20">
        <v>12</v>
      </c>
      <c r="I86" s="21" cm="1">
        <f t="array" ref="I86">_xlfn.IFS(NOT(OR($H86=12, $H86=24)), "-", $H86=12, (DATE(YEAR($F86)+1, MONTH($F86), DAY($F86))), $H86=24, (DATE(YEAR($F86)+2, MONTH($F86), DAY($F86))))</f>
        <v>45707</v>
      </c>
      <c r="J86" s="20" t="s">
        <v>12</v>
      </c>
      <c r="K86" s="20">
        <v>2020</v>
      </c>
      <c r="L86" s="20" t="s">
        <v>581</v>
      </c>
      <c r="M86" s="20">
        <v>1022</v>
      </c>
      <c r="N86" s="23"/>
      <c r="O86" s="24" t="s">
        <v>742</v>
      </c>
      <c r="P86" s="24" t="s">
        <v>744</v>
      </c>
      <c r="Q86" s="24" t="s">
        <v>746</v>
      </c>
    </row>
    <row r="87" spans="1:17" ht="20.25" customHeight="1" x14ac:dyDescent="0.4">
      <c r="A87" s="54" t="s">
        <v>364</v>
      </c>
      <c r="B87" s="20" t="s">
        <v>365</v>
      </c>
      <c r="C87" s="25" t="s">
        <v>220</v>
      </c>
      <c r="D87" s="20" t="s">
        <v>787</v>
      </c>
      <c r="E87" s="25" t="s">
        <v>217</v>
      </c>
      <c r="F87" s="21">
        <v>45376</v>
      </c>
      <c r="G87" s="26" t="s">
        <v>1</v>
      </c>
      <c r="H87" s="25">
        <v>12</v>
      </c>
      <c r="I87" s="21" cm="1">
        <f t="array" ref="I87">_xlfn.IFS(NOT(OR($H87=12, $H87=24)), "-", $H87=12, (DATE(YEAR($F87)+1, MONTH($F87), DAY($F87))), $H87=24, (DATE(YEAR($F87)+2, MONTH($F87), DAY($F87))))</f>
        <v>45741</v>
      </c>
      <c r="J87" s="25" t="s">
        <v>66</v>
      </c>
      <c r="K87" s="20">
        <v>2021</v>
      </c>
      <c r="L87" s="25" t="s">
        <v>547</v>
      </c>
      <c r="M87" s="25">
        <v>169803</v>
      </c>
      <c r="N87" s="27"/>
      <c r="O87" s="28" t="s">
        <v>742</v>
      </c>
      <c r="P87" s="28" t="s">
        <v>768</v>
      </c>
      <c r="Q87" s="24" t="s">
        <v>746</v>
      </c>
    </row>
    <row r="88" spans="1:17" ht="20.25" customHeight="1" x14ac:dyDescent="0.4">
      <c r="A88" s="54" t="s">
        <v>366</v>
      </c>
      <c r="B88" s="20" t="s">
        <v>367</v>
      </c>
      <c r="C88" s="20" t="s">
        <v>220</v>
      </c>
      <c r="D88" s="20" t="s">
        <v>787</v>
      </c>
      <c r="E88" s="20" t="s">
        <v>217</v>
      </c>
      <c r="F88" s="21">
        <v>45294</v>
      </c>
      <c r="G88" s="22" t="s">
        <v>1</v>
      </c>
      <c r="H88" s="20">
        <v>12</v>
      </c>
      <c r="I88" s="21" cm="1">
        <f t="array" ref="I88">_xlfn.IFS(NOT(OR($H88=12, $H88=24)), "-", $H88=12, (DATE(YEAR($F88)+1, MONTH($F88), DAY($F88))), $H88=24, (DATE(YEAR($F88)+2, MONTH($F88), DAY($F88))))</f>
        <v>45660</v>
      </c>
      <c r="J88" s="20" t="s">
        <v>66</v>
      </c>
      <c r="K88" s="20">
        <v>2021</v>
      </c>
      <c r="L88" s="20" t="s">
        <v>547</v>
      </c>
      <c r="M88" s="20">
        <v>169801</v>
      </c>
      <c r="N88" s="20"/>
      <c r="O88" s="24" t="s">
        <v>742</v>
      </c>
      <c r="P88" s="24" t="s">
        <v>768</v>
      </c>
      <c r="Q88" s="24" t="s">
        <v>746</v>
      </c>
    </row>
    <row r="89" spans="1:17" ht="20.25" customHeight="1" x14ac:dyDescent="0.4">
      <c r="A89" s="54" t="s">
        <v>368</v>
      </c>
      <c r="B89" s="20" t="s">
        <v>367</v>
      </c>
      <c r="C89" s="20" t="s">
        <v>220</v>
      </c>
      <c r="D89" s="20" t="s">
        <v>787</v>
      </c>
      <c r="E89" s="20" t="s">
        <v>217</v>
      </c>
      <c r="F89" s="21">
        <v>45498</v>
      </c>
      <c r="G89" s="22" t="s">
        <v>1</v>
      </c>
      <c r="H89" s="20">
        <v>12</v>
      </c>
      <c r="I89" s="21" cm="1">
        <f t="array" ref="I89">_xlfn.IFS(NOT(OR($H89=12, $H89=24)), "-", $H89=12, (DATE(YEAR($F89)+1, MONTH($F89), DAY($F89))), $H89=24, (DATE(YEAR($F89)+2, MONTH($F89), DAY($F89))))</f>
        <v>45863</v>
      </c>
      <c r="J89" s="20" t="s">
        <v>66</v>
      </c>
      <c r="K89" s="20">
        <v>2021</v>
      </c>
      <c r="L89" s="20" t="s">
        <v>547</v>
      </c>
      <c r="M89" s="20">
        <v>169799</v>
      </c>
      <c r="N89" s="20"/>
      <c r="O89" s="24" t="s">
        <v>742</v>
      </c>
      <c r="P89" s="24" t="s">
        <v>768</v>
      </c>
      <c r="Q89" s="24" t="s">
        <v>746</v>
      </c>
    </row>
    <row r="90" spans="1:17" ht="20.25" customHeight="1" x14ac:dyDescent="0.4">
      <c r="A90" s="54" t="s">
        <v>369</v>
      </c>
      <c r="B90" s="20" t="s">
        <v>367</v>
      </c>
      <c r="C90" s="20" t="s">
        <v>220</v>
      </c>
      <c r="D90" s="20" t="s">
        <v>787</v>
      </c>
      <c r="E90" s="20" t="s">
        <v>217</v>
      </c>
      <c r="F90" s="21">
        <v>45497</v>
      </c>
      <c r="G90" s="22" t="s">
        <v>1</v>
      </c>
      <c r="H90" s="20">
        <v>12</v>
      </c>
      <c r="I90" s="21" cm="1">
        <f t="array" ref="I90">_xlfn.IFS(NOT(OR($H90=12, $H90=24)), "-", $H90=12, (DATE(YEAR($F90)+1, MONTH($F90), DAY($F90))), $H90=24, (DATE(YEAR($F90)+2, MONTH($F90), DAY($F90))))</f>
        <v>45862</v>
      </c>
      <c r="J90" s="20" t="s">
        <v>66</v>
      </c>
      <c r="K90" s="20">
        <v>2021</v>
      </c>
      <c r="L90" s="20" t="s">
        <v>547</v>
      </c>
      <c r="M90" s="20">
        <v>169800</v>
      </c>
      <c r="N90" s="20"/>
      <c r="O90" s="24" t="s">
        <v>742</v>
      </c>
      <c r="P90" s="24" t="s">
        <v>768</v>
      </c>
      <c r="Q90" s="24" t="s">
        <v>746</v>
      </c>
    </row>
    <row r="91" spans="1:17" ht="20.25" customHeight="1" x14ac:dyDescent="0.4">
      <c r="A91" s="54" t="s">
        <v>370</v>
      </c>
      <c r="B91" s="20">
        <v>209445</v>
      </c>
      <c r="C91" s="33" t="s">
        <v>237</v>
      </c>
      <c r="D91" s="20" t="s">
        <v>787</v>
      </c>
      <c r="E91" s="33" t="s">
        <v>523</v>
      </c>
      <c r="F91" s="21" t="s">
        <v>320</v>
      </c>
      <c r="G91" s="34" t="s">
        <v>320</v>
      </c>
      <c r="H91" s="33" t="s">
        <v>320</v>
      </c>
      <c r="I91" s="21" t="str" cm="1">
        <f t="array" ref="I91">_xlfn.IFS(NOT(OR($H91=12, $H91=24)), "-", $H91=12, (DATE(YEAR($F91)+1, MONTH($F91), DAY($F91))), $H91=24, (DATE(YEAR($F91)+2, MONTH($F91), DAY($F91))))</f>
        <v>-</v>
      </c>
      <c r="J91" s="33" t="s">
        <v>66</v>
      </c>
      <c r="K91" s="20">
        <v>2021</v>
      </c>
      <c r="L91" s="33" t="s">
        <v>582</v>
      </c>
      <c r="M91" s="33">
        <v>103231</v>
      </c>
      <c r="N91" s="35"/>
      <c r="O91" s="24" t="s">
        <v>742</v>
      </c>
      <c r="P91" s="24" t="s">
        <v>768</v>
      </c>
      <c r="Q91" s="24" t="s">
        <v>746</v>
      </c>
    </row>
    <row r="92" spans="1:17" ht="20.25" customHeight="1" x14ac:dyDescent="0.4">
      <c r="A92" s="54" t="s">
        <v>371</v>
      </c>
      <c r="B92" s="20">
        <v>209452</v>
      </c>
      <c r="C92" s="33" t="s">
        <v>280</v>
      </c>
      <c r="D92" s="20" t="s">
        <v>787</v>
      </c>
      <c r="E92" s="33" t="s">
        <v>523</v>
      </c>
      <c r="F92" s="21" t="s">
        <v>320</v>
      </c>
      <c r="G92" s="34" t="s">
        <v>320</v>
      </c>
      <c r="H92" s="33" t="s">
        <v>320</v>
      </c>
      <c r="I92" s="21" t="str" cm="1">
        <f t="array" ref="I92">_xlfn.IFS(NOT(OR($H92=12, $H92=24)), "-", $H92=12, (DATE(YEAR($F92)+1, MONTH($F92), DAY($F92))), $H92=24, (DATE(YEAR($F92)+2, MONTH($F92), DAY($F92))))</f>
        <v>-</v>
      </c>
      <c r="J92" s="36" t="s">
        <v>66</v>
      </c>
      <c r="K92" s="20">
        <v>2021</v>
      </c>
      <c r="L92" s="33" t="s">
        <v>583</v>
      </c>
      <c r="M92" s="33">
        <v>102974</v>
      </c>
      <c r="N92" s="35"/>
      <c r="O92" s="24" t="s">
        <v>742</v>
      </c>
      <c r="P92" s="24" t="s">
        <v>768</v>
      </c>
      <c r="Q92" s="24" t="s">
        <v>746</v>
      </c>
    </row>
    <row r="93" spans="1:17" s="55" customFormat="1" ht="20.25" customHeight="1" x14ac:dyDescent="0.4">
      <c r="A93" s="59" t="s">
        <v>372</v>
      </c>
      <c r="B93" s="60">
        <v>209453</v>
      </c>
      <c r="C93" s="61" t="s">
        <v>500</v>
      </c>
      <c r="D93" s="20" t="s">
        <v>787</v>
      </c>
      <c r="E93" s="60" t="s">
        <v>217</v>
      </c>
      <c r="F93" s="62">
        <v>45518</v>
      </c>
      <c r="G93" s="63" t="s">
        <v>1</v>
      </c>
      <c r="H93" s="61">
        <v>12</v>
      </c>
      <c r="I93" s="62" cm="1">
        <f t="array" ref="I93">_xlfn.IFS(NOT(OR($H93=12, $H93=24)), "-", $H93=12, (DATE(YEAR($F93)+1, MONTH($F93), DAY($F93))), $H93=24, (DATE(YEAR($F93)+2, MONTH($F93), DAY($F93))))</f>
        <v>45883</v>
      </c>
      <c r="J93" s="64" t="s">
        <v>66</v>
      </c>
      <c r="K93" s="60">
        <v>2021</v>
      </c>
      <c r="L93" s="61" t="s">
        <v>584</v>
      </c>
      <c r="M93" s="61">
        <v>101534</v>
      </c>
      <c r="N93" s="65"/>
      <c r="O93" s="28" t="s">
        <v>742</v>
      </c>
      <c r="P93" s="28" t="s">
        <v>768</v>
      </c>
      <c r="Q93" s="28" t="s">
        <v>769</v>
      </c>
    </row>
    <row r="94" spans="1:17" ht="20.25" customHeight="1" x14ac:dyDescent="0.4">
      <c r="A94" s="54" t="s">
        <v>373</v>
      </c>
      <c r="B94" s="20">
        <v>209605</v>
      </c>
      <c r="C94" s="33" t="s">
        <v>4</v>
      </c>
      <c r="D94" s="20" t="s">
        <v>787</v>
      </c>
      <c r="E94" s="33" t="s">
        <v>217</v>
      </c>
      <c r="F94" s="21">
        <v>45498</v>
      </c>
      <c r="G94" s="34" t="s">
        <v>1</v>
      </c>
      <c r="H94" s="33">
        <v>12</v>
      </c>
      <c r="I94" s="21" cm="1">
        <f t="array" ref="I94">_xlfn.IFS(NOT(OR($H94=12, $H94=24)), "-", $H94=12, (DATE(YEAR($F94)+1, MONTH($F94), DAY($F94))), $H94=24, (DATE(YEAR($F94)+2, MONTH($F94), DAY($F94))))</f>
        <v>45863</v>
      </c>
      <c r="J94" s="36" t="s">
        <v>0</v>
      </c>
      <c r="K94" s="20">
        <v>2021</v>
      </c>
      <c r="L94" s="33" t="s">
        <v>55</v>
      </c>
      <c r="M94" s="33">
        <v>16133</v>
      </c>
      <c r="N94" s="35" t="s">
        <v>719</v>
      </c>
      <c r="O94" s="24" t="s">
        <v>742</v>
      </c>
      <c r="P94" s="24" t="s">
        <v>744</v>
      </c>
      <c r="Q94" s="24" t="s">
        <v>746</v>
      </c>
    </row>
    <row r="95" spans="1:17" ht="20.25" customHeight="1" x14ac:dyDescent="0.4">
      <c r="A95" s="54" t="s">
        <v>276</v>
      </c>
      <c r="B95" s="20" t="s">
        <v>374</v>
      </c>
      <c r="C95" s="33" t="s">
        <v>501</v>
      </c>
      <c r="D95" s="20" t="s">
        <v>787</v>
      </c>
      <c r="E95" s="33" t="s">
        <v>217</v>
      </c>
      <c r="F95" s="21">
        <v>45462</v>
      </c>
      <c r="G95" s="34" t="s">
        <v>524</v>
      </c>
      <c r="H95" s="33" t="s">
        <v>320</v>
      </c>
      <c r="I95" s="21" t="str" cm="1">
        <f t="array" ref="I95">_xlfn.IFS(NOT(OR($H95=12, $H95=24)), "-", $H95=12, (DATE(YEAR($F95)+1, MONTH($F95), DAY($F95))), $H95=24, (DATE(YEAR($F95)+2, MONTH($F95), DAY($F95))))</f>
        <v>-</v>
      </c>
      <c r="J95" s="36" t="s">
        <v>524</v>
      </c>
      <c r="K95" s="20">
        <v>2020</v>
      </c>
      <c r="L95" s="37" t="s">
        <v>585</v>
      </c>
      <c r="M95" s="33">
        <v>3287425</v>
      </c>
      <c r="N95" s="35"/>
      <c r="O95" s="24" t="s">
        <v>743</v>
      </c>
      <c r="P95" s="24" t="s">
        <v>745</v>
      </c>
      <c r="Q95" s="24" t="s">
        <v>746</v>
      </c>
    </row>
    <row r="96" spans="1:17" ht="20.25" customHeight="1" x14ac:dyDescent="0.4">
      <c r="A96" s="54" t="s">
        <v>277</v>
      </c>
      <c r="B96" s="20" t="s">
        <v>374</v>
      </c>
      <c r="C96" s="33" t="s">
        <v>502</v>
      </c>
      <c r="D96" s="20" t="s">
        <v>787</v>
      </c>
      <c r="E96" s="33" t="s">
        <v>217</v>
      </c>
      <c r="F96" s="21">
        <v>45457</v>
      </c>
      <c r="G96" s="34" t="s">
        <v>524</v>
      </c>
      <c r="H96" s="33" t="s">
        <v>320</v>
      </c>
      <c r="I96" s="21" t="str" cm="1">
        <f t="array" ref="I96">_xlfn.IFS(NOT(OR($H96=12, $H96=24)), "-", $H96=12, (DATE(YEAR($F96)+1, MONTH($F96), DAY($F96))), $H96=24, (DATE(YEAR($F96)+2, MONTH($F96), DAY($F96))))</f>
        <v>-</v>
      </c>
      <c r="J96" s="33" t="s">
        <v>524</v>
      </c>
      <c r="K96" s="20">
        <v>2020</v>
      </c>
      <c r="L96" s="33" t="s">
        <v>586</v>
      </c>
      <c r="M96" s="33">
        <v>100426</v>
      </c>
      <c r="N96" s="35"/>
      <c r="O96" s="24" t="s">
        <v>743</v>
      </c>
      <c r="P96" s="24" t="s">
        <v>745</v>
      </c>
      <c r="Q96" s="24" t="s">
        <v>746</v>
      </c>
    </row>
    <row r="97" spans="1:17" ht="20.25" customHeight="1" x14ac:dyDescent="0.4">
      <c r="A97" s="54" t="s">
        <v>278</v>
      </c>
      <c r="B97" s="20" t="s">
        <v>374</v>
      </c>
      <c r="C97" s="33" t="s">
        <v>503</v>
      </c>
      <c r="D97" s="20" t="s">
        <v>787</v>
      </c>
      <c r="E97" s="33" t="s">
        <v>217</v>
      </c>
      <c r="F97" s="21">
        <v>45457</v>
      </c>
      <c r="G97" s="34" t="s">
        <v>524</v>
      </c>
      <c r="H97" s="33" t="s">
        <v>320</v>
      </c>
      <c r="I97" s="21" t="str" cm="1">
        <f t="array" ref="I97">_xlfn.IFS(NOT(OR($H97=12, $H97=24)), "-", $H97=12, (DATE(YEAR($F97)+1, MONTH($F97), DAY($F97))), $H97=24, (DATE(YEAR($F97)+2, MONTH($F97), DAY($F97))))</f>
        <v>-</v>
      </c>
      <c r="J97" s="33" t="s">
        <v>524</v>
      </c>
      <c r="K97" s="20">
        <v>2020</v>
      </c>
      <c r="L97" s="33" t="s">
        <v>587</v>
      </c>
      <c r="M97" s="33">
        <v>3026386</v>
      </c>
      <c r="N97" s="35"/>
      <c r="O97" s="24" t="s">
        <v>743</v>
      </c>
      <c r="P97" s="24" t="s">
        <v>745</v>
      </c>
      <c r="Q97" s="24" t="s">
        <v>746</v>
      </c>
    </row>
    <row r="98" spans="1:17" ht="20.25" customHeight="1" x14ac:dyDescent="0.4">
      <c r="A98" s="54" t="s">
        <v>279</v>
      </c>
      <c r="B98" s="20" t="s">
        <v>374</v>
      </c>
      <c r="C98" s="33" t="s">
        <v>504</v>
      </c>
      <c r="D98" s="20" t="s">
        <v>787</v>
      </c>
      <c r="E98" s="33" t="s">
        <v>217</v>
      </c>
      <c r="F98" s="21">
        <v>45464</v>
      </c>
      <c r="G98" s="34" t="s">
        <v>524</v>
      </c>
      <c r="H98" s="33" t="s">
        <v>320</v>
      </c>
      <c r="I98" s="21" t="str" cm="1">
        <f t="array" ref="I98">_xlfn.IFS(NOT(OR($H98=12, $H98=24)), "-", $H98=12, (DATE(YEAR($F98)+1, MONTH($F98), DAY($F98))), $H98=24, (DATE(YEAR($F98)+2, MONTH($F98), DAY($F98))))</f>
        <v>-</v>
      </c>
      <c r="J98" s="33" t="s">
        <v>524</v>
      </c>
      <c r="K98" s="20">
        <v>2020</v>
      </c>
      <c r="L98" s="33" t="s">
        <v>588</v>
      </c>
      <c r="M98" s="33" t="s">
        <v>664</v>
      </c>
      <c r="N98" s="35"/>
      <c r="O98" s="24" t="s">
        <v>743</v>
      </c>
      <c r="P98" s="24" t="s">
        <v>745</v>
      </c>
      <c r="Q98" s="24" t="s">
        <v>746</v>
      </c>
    </row>
    <row r="99" spans="1:17" ht="20.25" customHeight="1" x14ac:dyDescent="0.4">
      <c r="A99" s="54" t="s">
        <v>375</v>
      </c>
      <c r="B99" s="20">
        <v>209616</v>
      </c>
      <c r="C99" s="33" t="s">
        <v>237</v>
      </c>
      <c r="D99" s="20" t="s">
        <v>787</v>
      </c>
      <c r="E99" s="33" t="s">
        <v>523</v>
      </c>
      <c r="F99" s="21" t="s">
        <v>320</v>
      </c>
      <c r="G99" s="34" t="s">
        <v>320</v>
      </c>
      <c r="H99" s="33" t="s">
        <v>320</v>
      </c>
      <c r="I99" s="21" t="str" cm="1">
        <f t="array" ref="I99">_xlfn.IFS(NOT(OR($H99=12, $H99=24)), "-", $H99=12, (DATE(YEAR($F99)+1, MONTH($F99), DAY($F99))), $H99=24, (DATE(YEAR($F99)+2, MONTH($F99), DAY($F99))))</f>
        <v>-</v>
      </c>
      <c r="J99" s="33" t="s">
        <v>66</v>
      </c>
      <c r="K99" s="20">
        <v>2021</v>
      </c>
      <c r="L99" s="33" t="s">
        <v>582</v>
      </c>
      <c r="M99" s="33">
        <v>103232</v>
      </c>
      <c r="N99" s="35"/>
      <c r="O99" s="24" t="s">
        <v>742</v>
      </c>
      <c r="P99" s="24" t="s">
        <v>745</v>
      </c>
      <c r="Q99" s="24" t="s">
        <v>746</v>
      </c>
    </row>
    <row r="100" spans="1:17" ht="20.25" customHeight="1" x14ac:dyDescent="0.4">
      <c r="A100" s="54" t="s">
        <v>376</v>
      </c>
      <c r="B100" s="20">
        <v>209617</v>
      </c>
      <c r="C100" s="20" t="s">
        <v>280</v>
      </c>
      <c r="D100" s="20" t="s">
        <v>787</v>
      </c>
      <c r="E100" s="20" t="s">
        <v>523</v>
      </c>
      <c r="F100" s="21" t="s">
        <v>320</v>
      </c>
      <c r="G100" s="38" t="s">
        <v>320</v>
      </c>
      <c r="H100" s="20" t="s">
        <v>320</v>
      </c>
      <c r="I100" s="21" t="str" cm="1">
        <f t="array" ref="I100">_xlfn.IFS(NOT(OR($H100=12, $H100=24)), "-", $H100=12, (DATE(YEAR($F100)+1, MONTH($F100), DAY($F100))), $H100=24, (DATE(YEAR($F100)+2, MONTH($F100), DAY($F100))))</f>
        <v>-</v>
      </c>
      <c r="J100" s="20" t="s">
        <v>66</v>
      </c>
      <c r="K100" s="20">
        <v>2021</v>
      </c>
      <c r="L100" s="20" t="s">
        <v>583</v>
      </c>
      <c r="M100" s="20">
        <v>102975</v>
      </c>
      <c r="N100" s="23"/>
      <c r="O100" s="24" t="s">
        <v>742</v>
      </c>
      <c r="P100" s="24" t="s">
        <v>745</v>
      </c>
      <c r="Q100" s="24" t="s">
        <v>746</v>
      </c>
    </row>
    <row r="101" spans="1:17" ht="20.25" customHeight="1" x14ac:dyDescent="0.4">
      <c r="A101" s="54" t="s">
        <v>377</v>
      </c>
      <c r="B101" s="20">
        <v>209618</v>
      </c>
      <c r="C101" s="20" t="s">
        <v>280</v>
      </c>
      <c r="D101" s="20" t="s">
        <v>787</v>
      </c>
      <c r="E101" s="20" t="s">
        <v>523</v>
      </c>
      <c r="F101" s="21" t="s">
        <v>320</v>
      </c>
      <c r="G101" s="38" t="s">
        <v>320</v>
      </c>
      <c r="H101" s="20" t="s">
        <v>320</v>
      </c>
      <c r="I101" s="21" t="str" cm="1">
        <f t="array" ref="I101">_xlfn.IFS(NOT(OR($H101=12, $H101=24)), "-", $H101=12, (DATE(YEAR($F101)+1, MONTH($F101), DAY($F101))), $H101=24, (DATE(YEAR($F101)+2, MONTH($F101), DAY($F101))))</f>
        <v>-</v>
      </c>
      <c r="J101" s="20" t="s">
        <v>66</v>
      </c>
      <c r="K101" s="20">
        <v>2021</v>
      </c>
      <c r="L101" s="20" t="s">
        <v>583</v>
      </c>
      <c r="M101" s="20">
        <v>102976</v>
      </c>
      <c r="N101" s="20"/>
      <c r="O101" s="24" t="s">
        <v>742</v>
      </c>
      <c r="P101" s="24" t="s">
        <v>745</v>
      </c>
      <c r="Q101" s="24" t="s">
        <v>746</v>
      </c>
    </row>
    <row r="102" spans="1:17" ht="20.25" customHeight="1" x14ac:dyDescent="0.4">
      <c r="A102" s="54" t="s">
        <v>378</v>
      </c>
      <c r="B102" s="20">
        <v>209622</v>
      </c>
      <c r="C102" s="20" t="s">
        <v>280</v>
      </c>
      <c r="D102" s="20" t="s">
        <v>787</v>
      </c>
      <c r="E102" s="20" t="s">
        <v>523</v>
      </c>
      <c r="F102" s="21" t="s">
        <v>320</v>
      </c>
      <c r="G102" s="38" t="s">
        <v>320</v>
      </c>
      <c r="H102" s="20" t="s">
        <v>320</v>
      </c>
      <c r="I102" s="21" t="str" cm="1">
        <f t="array" ref="I102">_xlfn.IFS(NOT(OR($H102=12, $H102=24)), "-", $H102=12, (DATE(YEAR($F102)+1, MONTH($F102), DAY($F102))), $H102=24, (DATE(YEAR($F102)+2, MONTH($F102), DAY($F102))))</f>
        <v>-</v>
      </c>
      <c r="J102" s="20" t="s">
        <v>66</v>
      </c>
      <c r="K102" s="20">
        <v>2021</v>
      </c>
      <c r="L102" s="20" t="s">
        <v>583</v>
      </c>
      <c r="M102" s="20">
        <v>102977</v>
      </c>
      <c r="N102" s="20"/>
      <c r="O102" s="24" t="s">
        <v>742</v>
      </c>
      <c r="P102" s="24" t="s">
        <v>745</v>
      </c>
      <c r="Q102" s="24" t="s">
        <v>746</v>
      </c>
    </row>
    <row r="103" spans="1:17" ht="20.25" customHeight="1" x14ac:dyDescent="0.4">
      <c r="A103" s="54" t="s">
        <v>379</v>
      </c>
      <c r="B103" s="20">
        <v>209624</v>
      </c>
      <c r="C103" s="20" t="s">
        <v>136</v>
      </c>
      <c r="D103" s="20" t="s">
        <v>787</v>
      </c>
      <c r="E103" s="20" t="s">
        <v>217</v>
      </c>
      <c r="F103" s="21">
        <v>45495</v>
      </c>
      <c r="G103" s="38" t="s">
        <v>1</v>
      </c>
      <c r="H103" s="20">
        <v>12</v>
      </c>
      <c r="I103" s="21" cm="1">
        <f t="array" ref="I103">_xlfn.IFS(NOT(OR($H103=12, $H103=24)), "-", $H103=12, (DATE(YEAR($F103)+1, MONTH($F103), DAY($F103))), $H103=24, (DATE(YEAR($F103)+2, MONTH($F103), DAY($F103))))</f>
        <v>45860</v>
      </c>
      <c r="J103" s="20" t="s">
        <v>66</v>
      </c>
      <c r="K103" s="20">
        <v>2021</v>
      </c>
      <c r="L103" s="20" t="s">
        <v>589</v>
      </c>
      <c r="M103" s="20">
        <v>102256</v>
      </c>
      <c r="N103" s="20" t="s">
        <v>720</v>
      </c>
      <c r="O103" s="24" t="s">
        <v>742</v>
      </c>
      <c r="P103" s="24" t="s">
        <v>744</v>
      </c>
      <c r="Q103" s="24" t="s">
        <v>746</v>
      </c>
    </row>
    <row r="104" spans="1:17" ht="20.25" customHeight="1" x14ac:dyDescent="0.4">
      <c r="A104" s="54" t="s">
        <v>380</v>
      </c>
      <c r="B104" s="20">
        <v>209625</v>
      </c>
      <c r="C104" s="20" t="s">
        <v>4</v>
      </c>
      <c r="D104" s="20" t="s">
        <v>787</v>
      </c>
      <c r="E104" s="20" t="s">
        <v>217</v>
      </c>
      <c r="F104" s="21">
        <v>45497</v>
      </c>
      <c r="G104" s="22" t="s">
        <v>1</v>
      </c>
      <c r="H104" s="20">
        <v>12</v>
      </c>
      <c r="I104" s="21" cm="1">
        <f t="array" ref="I104">_xlfn.IFS(NOT(OR($H104=12, $H104=24)), "-", $H104=12, (DATE(YEAR($F104)+1, MONTH($F104), DAY($F104))), $H104=24, (DATE(YEAR($F104)+2, MONTH($F104), DAY($F104))))</f>
        <v>45862</v>
      </c>
      <c r="J104" s="20" t="s">
        <v>526</v>
      </c>
      <c r="K104" s="20">
        <v>2021</v>
      </c>
      <c r="L104" s="20" t="s">
        <v>590</v>
      </c>
      <c r="M104" s="20" t="s">
        <v>665</v>
      </c>
      <c r="N104" s="23" t="s">
        <v>721</v>
      </c>
      <c r="O104" s="24" t="s">
        <v>742</v>
      </c>
      <c r="P104" s="24" t="s">
        <v>744</v>
      </c>
      <c r="Q104" s="24" t="s">
        <v>746</v>
      </c>
    </row>
    <row r="105" spans="1:17" ht="20.25" customHeight="1" x14ac:dyDescent="0.4">
      <c r="A105" s="54" t="s">
        <v>381</v>
      </c>
      <c r="B105" s="20" t="s">
        <v>382</v>
      </c>
      <c r="C105" s="20" t="s">
        <v>22</v>
      </c>
      <c r="D105" s="20" t="s">
        <v>787</v>
      </c>
      <c r="E105" s="20" t="s">
        <v>217</v>
      </c>
      <c r="F105" s="21">
        <v>45498</v>
      </c>
      <c r="G105" s="22" t="s">
        <v>1</v>
      </c>
      <c r="H105" s="20">
        <v>12</v>
      </c>
      <c r="I105" s="21" cm="1">
        <f t="array" ref="I105">_xlfn.IFS(NOT(OR($H105=12, $H105=24)), "-", $H105=12, (DATE(YEAR($F105)+1, MONTH($F105), DAY($F105))), $H105=24, (DATE(YEAR($F105)+2, MONTH($F105), DAY($F105))))</f>
        <v>45863</v>
      </c>
      <c r="J105" s="20" t="s">
        <v>529</v>
      </c>
      <c r="K105" s="20">
        <v>2021</v>
      </c>
      <c r="L105" s="20" t="s">
        <v>591</v>
      </c>
      <c r="M105" s="20" t="s">
        <v>666</v>
      </c>
      <c r="N105" s="23" t="s">
        <v>722</v>
      </c>
      <c r="O105" s="24" t="s">
        <v>743</v>
      </c>
      <c r="P105" s="24" t="s">
        <v>744</v>
      </c>
      <c r="Q105" s="24" t="s">
        <v>746</v>
      </c>
    </row>
    <row r="106" spans="1:17" ht="20.25" customHeight="1" x14ac:dyDescent="0.4">
      <c r="A106" s="54" t="s">
        <v>766</v>
      </c>
      <c r="B106" s="20" t="s">
        <v>383</v>
      </c>
      <c r="C106" s="20" t="s">
        <v>22</v>
      </c>
      <c r="D106" s="20" t="s">
        <v>787</v>
      </c>
      <c r="E106" s="20" t="s">
        <v>217</v>
      </c>
      <c r="F106" s="21">
        <v>45496</v>
      </c>
      <c r="G106" s="22" t="s">
        <v>1</v>
      </c>
      <c r="H106" s="20">
        <v>12</v>
      </c>
      <c r="I106" s="21" cm="1">
        <f t="array" ref="I106">_xlfn.IFS(NOT(OR($H106=12, $H106=24)), "-", $H106=12, (DATE(YEAR($F106)+1, MONTH($F106), DAY($F106))), $H106=24, (DATE(YEAR($F106)+2, MONTH($F106), DAY($F106))))</f>
        <v>45861</v>
      </c>
      <c r="J106" s="20" t="s">
        <v>529</v>
      </c>
      <c r="K106" s="20">
        <v>2021</v>
      </c>
      <c r="L106" s="20" t="s">
        <v>592</v>
      </c>
      <c r="M106" s="20" t="s">
        <v>667</v>
      </c>
      <c r="N106" s="23" t="s">
        <v>723</v>
      </c>
      <c r="O106" s="24" t="s">
        <v>743</v>
      </c>
      <c r="P106" s="24" t="s">
        <v>744</v>
      </c>
      <c r="Q106" s="24" t="s">
        <v>746</v>
      </c>
    </row>
    <row r="107" spans="1:17" ht="20.25" customHeight="1" x14ac:dyDescent="0.4">
      <c r="A107" s="54" t="s">
        <v>384</v>
      </c>
      <c r="B107" s="20" t="s">
        <v>385</v>
      </c>
      <c r="C107" s="30" t="s">
        <v>505</v>
      </c>
      <c r="D107" s="20" t="s">
        <v>787</v>
      </c>
      <c r="E107" s="30" t="s">
        <v>217</v>
      </c>
      <c r="F107" s="21">
        <v>45496</v>
      </c>
      <c r="G107" s="31" t="s">
        <v>1</v>
      </c>
      <c r="H107" s="30">
        <v>12</v>
      </c>
      <c r="I107" s="21" cm="1">
        <f t="array" ref="I107">_xlfn.IFS(NOT(OR($H107=12, $H107=24)), "-", $H107=12, (DATE(YEAR($F107)+1, MONTH($F107), DAY($F107))), $H107=24, (DATE(YEAR($F107)+2, MONTH($F107), DAY($F107))))</f>
        <v>45861</v>
      </c>
      <c r="J107" s="30" t="s">
        <v>529</v>
      </c>
      <c r="K107" s="20">
        <v>2021</v>
      </c>
      <c r="L107" s="30" t="s">
        <v>534</v>
      </c>
      <c r="M107" s="30" t="s">
        <v>668</v>
      </c>
      <c r="N107" s="30" t="s">
        <v>724</v>
      </c>
      <c r="O107" s="24" t="s">
        <v>743</v>
      </c>
      <c r="P107" s="24" t="s">
        <v>744</v>
      </c>
      <c r="Q107" s="24" t="s">
        <v>746</v>
      </c>
    </row>
    <row r="108" spans="1:17" ht="20.25" customHeight="1" x14ac:dyDescent="0.4">
      <c r="A108" s="54" t="s">
        <v>386</v>
      </c>
      <c r="B108" s="20" t="s">
        <v>387</v>
      </c>
      <c r="C108" s="24" t="s">
        <v>505</v>
      </c>
      <c r="D108" s="20" t="s">
        <v>787</v>
      </c>
      <c r="E108" s="24" t="s">
        <v>217</v>
      </c>
      <c r="F108" s="21">
        <v>45496</v>
      </c>
      <c r="G108" s="40" t="s">
        <v>1</v>
      </c>
      <c r="H108" s="24">
        <v>12</v>
      </c>
      <c r="I108" s="21" cm="1">
        <f t="array" ref="I108">_xlfn.IFS(NOT(OR($H108=12, $H108=24)), "-", $H108=12, (DATE(YEAR($F108)+1, MONTH($F108), DAY($F108))), $H108=24, (DATE(YEAR($F108)+2, MONTH($F108), DAY($F108))))</f>
        <v>45861</v>
      </c>
      <c r="J108" s="41" t="s">
        <v>529</v>
      </c>
      <c r="K108" s="20">
        <v>2021</v>
      </c>
      <c r="L108" s="24" t="s">
        <v>534</v>
      </c>
      <c r="M108" s="24" t="s">
        <v>669</v>
      </c>
      <c r="N108" s="35" t="s">
        <v>724</v>
      </c>
      <c r="O108" s="24" t="s">
        <v>743</v>
      </c>
      <c r="P108" s="24" t="s">
        <v>744</v>
      </c>
      <c r="Q108" s="24" t="s">
        <v>746</v>
      </c>
    </row>
    <row r="109" spans="1:17" ht="20.25" customHeight="1" x14ac:dyDescent="0.4">
      <c r="A109" s="54" t="s">
        <v>388</v>
      </c>
      <c r="B109" s="20" t="s">
        <v>389</v>
      </c>
      <c r="C109" s="24" t="s">
        <v>505</v>
      </c>
      <c r="D109" s="20" t="s">
        <v>787</v>
      </c>
      <c r="E109" s="24" t="s">
        <v>217</v>
      </c>
      <c r="F109" s="21">
        <v>45496</v>
      </c>
      <c r="G109" s="40" t="s">
        <v>1</v>
      </c>
      <c r="H109" s="24">
        <v>12</v>
      </c>
      <c r="I109" s="21" cm="1">
        <f t="array" ref="I109">_xlfn.IFS(NOT(OR($H109=12, $H109=24)), "-", $H109=12, (DATE(YEAR($F109)+1, MONTH($F109), DAY($F109))), $H109=24, (DATE(YEAR($F109)+2, MONTH($F109), DAY($F109))))</f>
        <v>45861</v>
      </c>
      <c r="J109" s="41" t="s">
        <v>529</v>
      </c>
      <c r="K109" s="20">
        <v>2021</v>
      </c>
      <c r="L109" s="24" t="s">
        <v>534</v>
      </c>
      <c r="M109" s="24" t="s">
        <v>670</v>
      </c>
      <c r="N109" s="35" t="s">
        <v>724</v>
      </c>
      <c r="O109" s="24" t="s">
        <v>743</v>
      </c>
      <c r="P109" s="24" t="s">
        <v>744</v>
      </c>
      <c r="Q109" s="24" t="s">
        <v>746</v>
      </c>
    </row>
    <row r="110" spans="1:17" ht="20.25" customHeight="1" x14ac:dyDescent="0.4">
      <c r="A110" s="54" t="s">
        <v>390</v>
      </c>
      <c r="B110" s="20">
        <v>209637</v>
      </c>
      <c r="C110" s="24" t="s">
        <v>32</v>
      </c>
      <c r="D110" s="20" t="s">
        <v>787</v>
      </c>
      <c r="E110" s="24" t="s">
        <v>217</v>
      </c>
      <c r="F110" s="21">
        <v>45496</v>
      </c>
      <c r="G110" s="40" t="s">
        <v>1</v>
      </c>
      <c r="H110" s="24">
        <v>12</v>
      </c>
      <c r="I110" s="21" cm="1">
        <f t="array" ref="I110">_xlfn.IFS(NOT(OR($H110=12, $H110=24)), "-", $H110=12, (DATE(YEAR($F110)+1, MONTH($F110), DAY($F110))), $H110=24, (DATE(YEAR($F110)+2, MONTH($F110), DAY($F110))))</f>
        <v>45861</v>
      </c>
      <c r="J110" s="41" t="s">
        <v>527</v>
      </c>
      <c r="K110" s="20">
        <v>2021</v>
      </c>
      <c r="L110" s="24" t="s">
        <v>593</v>
      </c>
      <c r="M110" s="24" t="s">
        <v>186</v>
      </c>
      <c r="N110" s="35" t="s">
        <v>725</v>
      </c>
      <c r="O110" s="24" t="s">
        <v>743</v>
      </c>
      <c r="P110" s="24" t="s">
        <v>744</v>
      </c>
      <c r="Q110" s="24" t="s">
        <v>746</v>
      </c>
    </row>
    <row r="111" spans="1:17" ht="20.25" customHeight="1" x14ac:dyDescent="0.4">
      <c r="A111" s="54" t="s">
        <v>391</v>
      </c>
      <c r="B111" s="20">
        <v>209638</v>
      </c>
      <c r="C111" s="24" t="s">
        <v>32</v>
      </c>
      <c r="D111" s="20" t="s">
        <v>787</v>
      </c>
      <c r="E111" s="24" t="s">
        <v>217</v>
      </c>
      <c r="F111" s="21">
        <v>45496</v>
      </c>
      <c r="G111" s="40" t="s">
        <v>1</v>
      </c>
      <c r="H111" s="24">
        <v>12</v>
      </c>
      <c r="I111" s="21" cm="1">
        <f t="array" ref="I111">_xlfn.IFS(NOT(OR($H111=12, $H111=24)), "-", $H111=12, (DATE(YEAR($F111)+1, MONTH($F111), DAY($F111))), $H111=24, (DATE(YEAR($F111)+2, MONTH($F111), DAY($F111))))</f>
        <v>45861</v>
      </c>
      <c r="J111" s="41" t="s">
        <v>527</v>
      </c>
      <c r="K111" s="20">
        <v>2021</v>
      </c>
      <c r="L111" s="24" t="s">
        <v>593</v>
      </c>
      <c r="M111" s="24" t="s">
        <v>186</v>
      </c>
      <c r="N111" s="35" t="s">
        <v>725</v>
      </c>
      <c r="O111" s="24" t="s">
        <v>743</v>
      </c>
      <c r="P111" s="24" t="s">
        <v>744</v>
      </c>
      <c r="Q111" s="24" t="s">
        <v>746</v>
      </c>
    </row>
    <row r="112" spans="1:17" ht="20.25" customHeight="1" x14ac:dyDescent="0.4">
      <c r="A112" s="54" t="s">
        <v>392</v>
      </c>
      <c r="B112" s="20">
        <v>209640</v>
      </c>
      <c r="C112" s="20" t="s">
        <v>32</v>
      </c>
      <c r="D112" s="20" t="s">
        <v>787</v>
      </c>
      <c r="E112" s="20" t="s">
        <v>217</v>
      </c>
      <c r="F112" s="21">
        <v>45496</v>
      </c>
      <c r="G112" s="22" t="s">
        <v>1</v>
      </c>
      <c r="H112" s="20">
        <v>12</v>
      </c>
      <c r="I112" s="21" cm="1">
        <f t="array" ref="I112">_xlfn.IFS(NOT(OR($H112=12, $H112=24)), "-", $H112=12, (DATE(YEAR($F112)+1, MONTH($F112), DAY($F112))), $H112=24, (DATE(YEAR($F112)+2, MONTH($F112), DAY($F112))))</f>
        <v>45861</v>
      </c>
      <c r="J112" s="20" t="s">
        <v>527</v>
      </c>
      <c r="K112" s="20">
        <v>2021</v>
      </c>
      <c r="L112" s="20" t="s">
        <v>594</v>
      </c>
      <c r="M112" s="20" t="s">
        <v>186</v>
      </c>
      <c r="N112" s="20" t="s">
        <v>725</v>
      </c>
      <c r="O112" s="24" t="s">
        <v>743</v>
      </c>
      <c r="P112" s="24" t="s">
        <v>744</v>
      </c>
      <c r="Q112" s="24" t="s">
        <v>746</v>
      </c>
    </row>
    <row r="113" spans="1:17" ht="20.25" customHeight="1" x14ac:dyDescent="0.4">
      <c r="A113" s="54" t="s">
        <v>393</v>
      </c>
      <c r="B113" s="20">
        <v>209643</v>
      </c>
      <c r="C113" s="20" t="s">
        <v>32</v>
      </c>
      <c r="D113" s="20" t="s">
        <v>787</v>
      </c>
      <c r="E113" s="20" t="s">
        <v>217</v>
      </c>
      <c r="F113" s="21">
        <v>45496</v>
      </c>
      <c r="G113" s="22" t="s">
        <v>1</v>
      </c>
      <c r="H113" s="20">
        <v>12</v>
      </c>
      <c r="I113" s="21" cm="1">
        <f t="array" ref="I113">_xlfn.IFS(NOT(OR($H113=12, $H113=24)), "-", $H113=12, (DATE(YEAR($F113)+1, MONTH($F113), DAY($F113))), $H113=24, (DATE(YEAR($F113)+2, MONTH($F113), DAY($F113))))</f>
        <v>45861</v>
      </c>
      <c r="J113" s="20" t="s">
        <v>527</v>
      </c>
      <c r="K113" s="20">
        <v>2021</v>
      </c>
      <c r="L113" s="20" t="s">
        <v>594</v>
      </c>
      <c r="M113" s="20" t="s">
        <v>186</v>
      </c>
      <c r="N113" s="20" t="s">
        <v>725</v>
      </c>
      <c r="O113" s="24" t="s">
        <v>743</v>
      </c>
      <c r="P113" s="24" t="s">
        <v>744</v>
      </c>
      <c r="Q113" s="24" t="s">
        <v>746</v>
      </c>
    </row>
    <row r="114" spans="1:17" ht="20.25" customHeight="1" x14ac:dyDescent="0.4">
      <c r="A114" s="54" t="s">
        <v>394</v>
      </c>
      <c r="B114" s="20">
        <v>209647</v>
      </c>
      <c r="C114" s="20" t="s">
        <v>59</v>
      </c>
      <c r="D114" s="20" t="s">
        <v>787</v>
      </c>
      <c r="E114" s="20" t="s">
        <v>217</v>
      </c>
      <c r="F114" s="21">
        <v>45497</v>
      </c>
      <c r="G114" s="22" t="s">
        <v>1</v>
      </c>
      <c r="H114" s="20">
        <v>12</v>
      </c>
      <c r="I114" s="21" cm="1">
        <f t="array" ref="I114">_xlfn.IFS(NOT(OR($H114=12, $H114=24)), "-", $H114=12, (DATE(YEAR($F114)+1, MONTH($F114), DAY($F114))), $H114=24, (DATE(YEAR($F114)+2, MONTH($F114), DAY($F114))))</f>
        <v>45862</v>
      </c>
      <c r="J114" s="20" t="s">
        <v>527</v>
      </c>
      <c r="K114" s="20">
        <v>2021</v>
      </c>
      <c r="L114" s="20" t="s">
        <v>595</v>
      </c>
      <c r="M114" s="20" t="s">
        <v>671</v>
      </c>
      <c r="N114" s="20" t="s">
        <v>726</v>
      </c>
      <c r="O114" s="24" t="s">
        <v>743</v>
      </c>
      <c r="P114" s="24" t="s">
        <v>744</v>
      </c>
      <c r="Q114" s="24" t="s">
        <v>746</v>
      </c>
    </row>
    <row r="115" spans="1:17" ht="20.25" customHeight="1" x14ac:dyDescent="0.4">
      <c r="A115" s="54" t="s">
        <v>395</v>
      </c>
      <c r="B115" s="20">
        <v>209649</v>
      </c>
      <c r="C115" s="20" t="s">
        <v>59</v>
      </c>
      <c r="D115" s="20" t="s">
        <v>787</v>
      </c>
      <c r="E115" s="20" t="s">
        <v>217</v>
      </c>
      <c r="F115" s="21">
        <v>45496</v>
      </c>
      <c r="G115" s="22" t="s">
        <v>1</v>
      </c>
      <c r="H115" s="20">
        <v>12</v>
      </c>
      <c r="I115" s="21" cm="1">
        <f t="array" ref="I115">_xlfn.IFS(NOT(OR($H115=12, $H115=24)), "-", $H115=12, (DATE(YEAR($F115)+1, MONTH($F115), DAY($F115))), $H115=24, (DATE(YEAR($F115)+2, MONTH($F115), DAY($F115))))</f>
        <v>45861</v>
      </c>
      <c r="J115" s="20" t="s">
        <v>527</v>
      </c>
      <c r="K115" s="20">
        <v>2021</v>
      </c>
      <c r="L115" s="20" t="s">
        <v>595</v>
      </c>
      <c r="M115" s="20" t="s">
        <v>672</v>
      </c>
      <c r="N115" s="20" t="s">
        <v>726</v>
      </c>
      <c r="O115" s="24" t="s">
        <v>743</v>
      </c>
      <c r="P115" s="24" t="s">
        <v>744</v>
      </c>
      <c r="Q115" s="24" t="s">
        <v>746</v>
      </c>
    </row>
    <row r="116" spans="1:17" ht="20.25" customHeight="1" x14ac:dyDescent="0.4">
      <c r="A116" s="54" t="s">
        <v>396</v>
      </c>
      <c r="B116" s="20">
        <v>209650</v>
      </c>
      <c r="C116" s="20" t="s">
        <v>59</v>
      </c>
      <c r="D116" s="20" t="s">
        <v>787</v>
      </c>
      <c r="E116" s="20" t="s">
        <v>217</v>
      </c>
      <c r="F116" s="21">
        <v>45497</v>
      </c>
      <c r="G116" s="22" t="s">
        <v>1</v>
      </c>
      <c r="H116" s="20">
        <v>12</v>
      </c>
      <c r="I116" s="21" cm="1">
        <f t="array" ref="I116">_xlfn.IFS(NOT(OR($H116=12, $H116=24)), "-", $H116=12, (DATE(YEAR($F116)+1, MONTH($F116), DAY($F116))), $H116=24, (DATE(YEAR($F116)+2, MONTH($F116), DAY($F116))))</f>
        <v>45862</v>
      </c>
      <c r="J116" s="20" t="s">
        <v>527</v>
      </c>
      <c r="K116" s="20">
        <v>2021</v>
      </c>
      <c r="L116" s="20" t="s">
        <v>596</v>
      </c>
      <c r="M116" s="20" t="s">
        <v>673</v>
      </c>
      <c r="N116" s="20" t="s">
        <v>727</v>
      </c>
      <c r="O116" s="24" t="s">
        <v>743</v>
      </c>
      <c r="P116" s="24" t="s">
        <v>744</v>
      </c>
      <c r="Q116" s="24" t="s">
        <v>746</v>
      </c>
    </row>
    <row r="117" spans="1:17" ht="20.25" customHeight="1" x14ac:dyDescent="0.4">
      <c r="A117" s="54" t="s">
        <v>397</v>
      </c>
      <c r="B117" s="20">
        <v>209651</v>
      </c>
      <c r="C117" s="20" t="s">
        <v>59</v>
      </c>
      <c r="D117" s="20" t="s">
        <v>787</v>
      </c>
      <c r="E117" s="20" t="s">
        <v>217</v>
      </c>
      <c r="F117" s="21">
        <v>45497</v>
      </c>
      <c r="G117" s="22" t="s">
        <v>1</v>
      </c>
      <c r="H117" s="20">
        <v>12</v>
      </c>
      <c r="I117" s="21" cm="1">
        <f t="array" ref="I117">_xlfn.IFS(NOT(OR($H117=12, $H117=24)), "-", $H117=12, (DATE(YEAR($F117)+1, MONTH($F117), DAY($F117))), $H117=24, (DATE(YEAR($F117)+2, MONTH($F117), DAY($F117))))</f>
        <v>45862</v>
      </c>
      <c r="J117" s="20" t="s">
        <v>527</v>
      </c>
      <c r="K117" s="20">
        <v>2021</v>
      </c>
      <c r="L117" s="20" t="s">
        <v>558</v>
      </c>
      <c r="M117" s="20" t="s">
        <v>674</v>
      </c>
      <c r="N117" s="20" t="s">
        <v>728</v>
      </c>
      <c r="O117" s="24" t="s">
        <v>743</v>
      </c>
      <c r="P117" s="24" t="s">
        <v>744</v>
      </c>
      <c r="Q117" s="24" t="s">
        <v>746</v>
      </c>
    </row>
    <row r="118" spans="1:17" ht="20.25" customHeight="1" x14ac:dyDescent="0.4">
      <c r="A118" s="54" t="s">
        <v>398</v>
      </c>
      <c r="B118" s="20">
        <v>209652</v>
      </c>
      <c r="C118" s="20" t="s">
        <v>4</v>
      </c>
      <c r="D118" s="20" t="s">
        <v>787</v>
      </c>
      <c r="E118" s="20" t="s">
        <v>217</v>
      </c>
      <c r="F118" s="21">
        <v>45497</v>
      </c>
      <c r="G118" s="22" t="s">
        <v>1</v>
      </c>
      <c r="H118" s="20">
        <v>12</v>
      </c>
      <c r="I118" s="21" cm="1">
        <f t="array" ref="I118">_xlfn.IFS(NOT(OR($H118=12, $H118=24)), "-", $H118=12, (DATE(YEAR($F118)+1, MONTH($F118), DAY($F118))), $H118=24, (DATE(YEAR($F118)+2, MONTH($F118), DAY($F118))))</f>
        <v>45862</v>
      </c>
      <c r="J118" s="20" t="s">
        <v>527</v>
      </c>
      <c r="K118" s="20">
        <v>2021</v>
      </c>
      <c r="L118" s="20" t="s">
        <v>597</v>
      </c>
      <c r="M118" s="20" t="s">
        <v>186</v>
      </c>
      <c r="N118" s="20" t="s">
        <v>729</v>
      </c>
      <c r="O118" s="24" t="s">
        <v>743</v>
      </c>
      <c r="P118" s="24" t="s">
        <v>744</v>
      </c>
      <c r="Q118" s="24" t="s">
        <v>746</v>
      </c>
    </row>
    <row r="119" spans="1:17" ht="20.25" customHeight="1" x14ac:dyDescent="0.4">
      <c r="A119" s="54" t="s">
        <v>399</v>
      </c>
      <c r="B119" s="24">
        <v>209654</v>
      </c>
      <c r="C119" s="24" t="s">
        <v>4</v>
      </c>
      <c r="D119" s="20" t="s">
        <v>787</v>
      </c>
      <c r="E119" s="39" t="s">
        <v>217</v>
      </c>
      <c r="F119" s="21">
        <v>45497</v>
      </c>
      <c r="G119" s="41" t="s">
        <v>1</v>
      </c>
      <c r="H119" s="42">
        <v>12</v>
      </c>
      <c r="I119" s="21" cm="1">
        <f t="array" ref="I119">_xlfn.IFS(NOT(OR($H119=12, $H119=24)), "-", $H119=12, (DATE(YEAR($F119)+1, MONTH($F119), DAY($F119))), $H119=24, (DATE(YEAR($F119)+2, MONTH($F119), DAY($F119))))</f>
        <v>45862</v>
      </c>
      <c r="J119" s="41" t="s">
        <v>527</v>
      </c>
      <c r="K119" s="20">
        <v>2021</v>
      </c>
      <c r="L119" s="24" t="s">
        <v>597</v>
      </c>
      <c r="M119" s="35" t="s">
        <v>186</v>
      </c>
      <c r="N119" s="24" t="s">
        <v>729</v>
      </c>
      <c r="O119" s="24" t="s">
        <v>742</v>
      </c>
      <c r="P119" s="24" t="s">
        <v>744</v>
      </c>
      <c r="Q119" s="24" t="s">
        <v>746</v>
      </c>
    </row>
    <row r="120" spans="1:17" ht="20.25" customHeight="1" x14ac:dyDescent="0.4">
      <c r="A120" s="54" t="s">
        <v>400</v>
      </c>
      <c r="B120" s="20">
        <v>209678</v>
      </c>
      <c r="C120" s="24" t="s">
        <v>506</v>
      </c>
      <c r="D120" s="20" t="s">
        <v>787</v>
      </c>
      <c r="E120" s="20" t="s">
        <v>217</v>
      </c>
      <c r="F120" s="21">
        <v>45497</v>
      </c>
      <c r="G120" s="41" t="s">
        <v>1</v>
      </c>
      <c r="H120" s="20">
        <v>12</v>
      </c>
      <c r="I120" s="21" cm="1">
        <f t="array" ref="I120">_xlfn.IFS(NOT(OR($H120=12, $H120=24)), "-", $H120=12, (DATE(YEAR($F120)+1, MONTH($F120), DAY($F120))), $H120=24, (DATE(YEAR($F120)+2, MONTH($F120), DAY($F120))))</f>
        <v>45862</v>
      </c>
      <c r="J120" s="41" t="s">
        <v>10</v>
      </c>
      <c r="K120" s="20">
        <v>2021</v>
      </c>
      <c r="L120" s="43" t="s">
        <v>11</v>
      </c>
      <c r="M120" s="43" t="s">
        <v>675</v>
      </c>
      <c r="N120" s="24"/>
      <c r="O120" s="24" t="s">
        <v>743</v>
      </c>
      <c r="P120" s="24" t="s">
        <v>768</v>
      </c>
      <c r="Q120" s="24" t="s">
        <v>746</v>
      </c>
    </row>
    <row r="121" spans="1:17" ht="20.25" customHeight="1" x14ac:dyDescent="0.4">
      <c r="A121" s="54" t="s">
        <v>401</v>
      </c>
      <c r="B121" s="20">
        <v>209679</v>
      </c>
      <c r="C121" s="24" t="s">
        <v>506</v>
      </c>
      <c r="D121" s="20" t="s">
        <v>787</v>
      </c>
      <c r="E121" s="20" t="s">
        <v>217</v>
      </c>
      <c r="F121" s="21">
        <v>45497</v>
      </c>
      <c r="G121" s="41" t="s">
        <v>1</v>
      </c>
      <c r="H121" s="20">
        <v>12</v>
      </c>
      <c r="I121" s="21" cm="1">
        <f t="array" ref="I121">_xlfn.IFS(NOT(OR($H121=12, $H121=24)), "-", $H121=12, (DATE(YEAR($F121)+1, MONTH($F121), DAY($F121))), $H121=24, (DATE(YEAR($F121)+2, MONTH($F121), DAY($F121))))</f>
        <v>45862</v>
      </c>
      <c r="J121" s="41" t="s">
        <v>10</v>
      </c>
      <c r="K121" s="20">
        <v>2021</v>
      </c>
      <c r="L121" s="20" t="s">
        <v>11</v>
      </c>
      <c r="M121" s="20" t="s">
        <v>676</v>
      </c>
      <c r="N121" s="20"/>
      <c r="O121" s="24" t="s">
        <v>743</v>
      </c>
      <c r="P121" s="24" t="s">
        <v>768</v>
      </c>
      <c r="Q121" s="24" t="s">
        <v>746</v>
      </c>
    </row>
    <row r="122" spans="1:17" ht="20.25" customHeight="1" x14ac:dyDescent="0.4">
      <c r="A122" s="54" t="s">
        <v>402</v>
      </c>
      <c r="B122" s="20">
        <v>209682</v>
      </c>
      <c r="C122" s="24" t="s">
        <v>506</v>
      </c>
      <c r="D122" s="20" t="s">
        <v>787</v>
      </c>
      <c r="E122" s="20" t="s">
        <v>217</v>
      </c>
      <c r="F122" s="21">
        <v>45497</v>
      </c>
      <c r="G122" s="41" t="s">
        <v>1</v>
      </c>
      <c r="H122" s="20">
        <v>12</v>
      </c>
      <c r="I122" s="21" cm="1">
        <f t="array" ref="I122">_xlfn.IFS(NOT(OR($H122=12, $H122=24)), "-", $H122=12, (DATE(YEAR($F122)+1, MONTH($F122), DAY($F122))), $H122=24, (DATE(YEAR($F122)+2, MONTH($F122), DAY($F122))))</f>
        <v>45862</v>
      </c>
      <c r="J122" s="20" t="s">
        <v>10</v>
      </c>
      <c r="K122" s="20">
        <v>2021</v>
      </c>
      <c r="L122" s="20" t="s">
        <v>11</v>
      </c>
      <c r="M122" s="20" t="s">
        <v>677</v>
      </c>
      <c r="N122" s="20"/>
      <c r="O122" s="24" t="s">
        <v>743</v>
      </c>
      <c r="P122" s="24" t="s">
        <v>768</v>
      </c>
      <c r="Q122" s="24" t="s">
        <v>746</v>
      </c>
    </row>
    <row r="123" spans="1:17" ht="20.25" customHeight="1" x14ac:dyDescent="0.4">
      <c r="A123" s="54" t="s">
        <v>403</v>
      </c>
      <c r="B123" s="20">
        <v>209683</v>
      </c>
      <c r="C123" s="24" t="s">
        <v>506</v>
      </c>
      <c r="D123" s="20" t="s">
        <v>787</v>
      </c>
      <c r="E123" s="20" t="s">
        <v>217</v>
      </c>
      <c r="F123" s="21">
        <v>45295</v>
      </c>
      <c r="G123" s="41" t="s">
        <v>1</v>
      </c>
      <c r="H123" s="20">
        <v>12</v>
      </c>
      <c r="I123" s="21" cm="1">
        <f t="array" ref="I123">_xlfn.IFS(NOT(OR($H123=12, $H123=24)), "-", $H123=12, (DATE(YEAR($F123)+1, MONTH($F123), DAY($F123))), $H123=24, (DATE(YEAR($F123)+2, MONTH($F123), DAY($F123))))</f>
        <v>45661</v>
      </c>
      <c r="J123" s="20" t="s">
        <v>10</v>
      </c>
      <c r="K123" s="20">
        <v>2021</v>
      </c>
      <c r="L123" s="20" t="s">
        <v>11</v>
      </c>
      <c r="M123" s="20" t="s">
        <v>678</v>
      </c>
      <c r="N123" s="20"/>
      <c r="O123" s="24" t="s">
        <v>743</v>
      </c>
      <c r="P123" s="24" t="s">
        <v>768</v>
      </c>
      <c r="Q123" s="24" t="s">
        <v>746</v>
      </c>
    </row>
    <row r="124" spans="1:17" ht="20.25" customHeight="1" x14ac:dyDescent="0.4">
      <c r="A124" s="54" t="s">
        <v>281</v>
      </c>
      <c r="B124" s="20">
        <v>209684</v>
      </c>
      <c r="C124" s="24" t="s">
        <v>507</v>
      </c>
      <c r="D124" s="20" t="s">
        <v>787</v>
      </c>
      <c r="E124" s="20" t="s">
        <v>522</v>
      </c>
      <c r="F124" s="21" t="s">
        <v>320</v>
      </c>
      <c r="G124" s="41" t="s">
        <v>320</v>
      </c>
      <c r="H124" s="20" t="s">
        <v>320</v>
      </c>
      <c r="I124" s="21" t="str" cm="1">
        <f t="array" ref="I124">_xlfn.IFS(NOT(OR($H124=12, $H124=24)), "-", $H124=12, (DATE(YEAR($F124)+1, MONTH($F124), DAY($F124))), $H124=24, (DATE(YEAR($F124)+2, MONTH($F124), DAY($F124))))</f>
        <v>-</v>
      </c>
      <c r="J124" s="20" t="s">
        <v>524</v>
      </c>
      <c r="K124" s="20">
        <v>2021</v>
      </c>
      <c r="L124" s="20" t="s">
        <v>507</v>
      </c>
      <c r="M124" s="20" t="s">
        <v>320</v>
      </c>
      <c r="N124" s="20"/>
      <c r="O124" s="24" t="s">
        <v>743</v>
      </c>
      <c r="P124" s="24" t="s">
        <v>745</v>
      </c>
      <c r="Q124" s="24" t="s">
        <v>746</v>
      </c>
    </row>
    <row r="125" spans="1:17" ht="20.25" customHeight="1" x14ac:dyDescent="0.4">
      <c r="A125" s="54" t="s">
        <v>282</v>
      </c>
      <c r="B125" s="20">
        <v>209685</v>
      </c>
      <c r="C125" s="24" t="s">
        <v>263</v>
      </c>
      <c r="D125" s="20" t="s">
        <v>787</v>
      </c>
      <c r="E125" s="20" t="s">
        <v>522</v>
      </c>
      <c r="F125" s="21" t="s">
        <v>320</v>
      </c>
      <c r="G125" s="41" t="s">
        <v>320</v>
      </c>
      <c r="H125" s="20" t="s">
        <v>320</v>
      </c>
      <c r="I125" s="21" t="str" cm="1">
        <f t="array" ref="I125">_xlfn.IFS(NOT(OR($H125=12, $H125=24)), "-", $H125=12, (DATE(YEAR($F125)+1, MONTH($F125), DAY($F125))), $H125=24, (DATE(YEAR($F125)+2, MONTH($F125), DAY($F125))))</f>
        <v>-</v>
      </c>
      <c r="J125" s="20" t="s">
        <v>12</v>
      </c>
      <c r="K125" s="20">
        <v>2021</v>
      </c>
      <c r="L125" s="20" t="s">
        <v>598</v>
      </c>
      <c r="M125" s="20" t="s">
        <v>320</v>
      </c>
      <c r="N125" s="20"/>
      <c r="O125" s="24" t="s">
        <v>743</v>
      </c>
      <c r="P125" s="24" t="s">
        <v>745</v>
      </c>
      <c r="Q125" s="24" t="s">
        <v>746</v>
      </c>
    </row>
    <row r="126" spans="1:17" ht="20.25" customHeight="1" x14ac:dyDescent="0.4">
      <c r="A126" s="54" t="s">
        <v>283</v>
      </c>
      <c r="B126" s="20">
        <v>209686</v>
      </c>
      <c r="C126" s="20" t="s">
        <v>263</v>
      </c>
      <c r="D126" s="20" t="s">
        <v>787</v>
      </c>
      <c r="E126" s="20" t="s">
        <v>522</v>
      </c>
      <c r="F126" s="21" t="s">
        <v>320</v>
      </c>
      <c r="G126" s="22" t="s">
        <v>320</v>
      </c>
      <c r="H126" s="20" t="s">
        <v>320</v>
      </c>
      <c r="I126" s="21" t="str" cm="1">
        <f t="array" ref="I126">_xlfn.IFS(NOT(OR($H126=12, $H126=24)), "-", $H126=12, (DATE(YEAR($F126)+1, MONTH($F126), DAY($F126))), $H126=24, (DATE(YEAR($F126)+2, MONTH($F126), DAY($F126))))</f>
        <v>-</v>
      </c>
      <c r="J126" s="20" t="s">
        <v>12</v>
      </c>
      <c r="K126" s="20">
        <v>2021</v>
      </c>
      <c r="L126" s="20" t="s">
        <v>599</v>
      </c>
      <c r="M126" s="20" t="s">
        <v>320</v>
      </c>
      <c r="N126" s="23"/>
      <c r="O126" s="24" t="s">
        <v>743</v>
      </c>
      <c r="P126" s="24" t="s">
        <v>745</v>
      </c>
      <c r="Q126" s="24" t="s">
        <v>746</v>
      </c>
    </row>
    <row r="127" spans="1:17" ht="20.25" customHeight="1" x14ac:dyDescent="0.4">
      <c r="A127" s="54" t="s">
        <v>404</v>
      </c>
      <c r="B127" s="20" t="s">
        <v>405</v>
      </c>
      <c r="C127" s="25" t="s">
        <v>96</v>
      </c>
      <c r="D127" s="20" t="s">
        <v>787</v>
      </c>
      <c r="E127" s="25" t="s">
        <v>217</v>
      </c>
      <c r="F127" s="21">
        <v>45296</v>
      </c>
      <c r="G127" s="26" t="s">
        <v>1</v>
      </c>
      <c r="H127" s="25">
        <v>12</v>
      </c>
      <c r="I127" s="21" cm="1">
        <f t="array" ref="I127">_xlfn.IFS(NOT(OR($H127=12, $H127=24)), "-", $H127=12, (DATE(YEAR($F127)+1, MONTH($F127), DAY($F127))), $H127=24, (DATE(YEAR($F127)+2, MONTH($F127), DAY($F127))))</f>
        <v>45662</v>
      </c>
      <c r="J127" s="25" t="s">
        <v>97</v>
      </c>
      <c r="K127" s="20">
        <v>2021</v>
      </c>
      <c r="L127" s="25" t="s">
        <v>600</v>
      </c>
      <c r="M127" s="25">
        <v>10002</v>
      </c>
      <c r="N127" s="27"/>
      <c r="O127" s="28" t="s">
        <v>743</v>
      </c>
      <c r="P127" s="28" t="s">
        <v>744</v>
      </c>
      <c r="Q127" s="24" t="s">
        <v>746</v>
      </c>
    </row>
    <row r="128" spans="1:17" ht="20.25" customHeight="1" x14ac:dyDescent="0.4">
      <c r="A128" s="54" t="s">
        <v>406</v>
      </c>
      <c r="B128" s="20">
        <v>209700</v>
      </c>
      <c r="C128" s="20" t="s">
        <v>8</v>
      </c>
      <c r="D128" s="20" t="s">
        <v>787</v>
      </c>
      <c r="E128" s="20" t="s">
        <v>217</v>
      </c>
      <c r="F128" s="21">
        <v>45036</v>
      </c>
      <c r="G128" s="22" t="s">
        <v>12</v>
      </c>
      <c r="H128" s="20">
        <v>24</v>
      </c>
      <c r="I128" s="21" cm="1">
        <f t="array" ref="I128">_xlfn.IFS(NOT(OR($H128=12, $H128=24)), "-", $H128=12, (DATE(YEAR($F128)+1, MONTH($F128), DAY($F128))), $H128=24, (DATE(YEAR($F128)+2, MONTH($F128), DAY($F128))))</f>
        <v>45767</v>
      </c>
      <c r="J128" s="20" t="s">
        <v>12</v>
      </c>
      <c r="K128" s="20">
        <v>2021</v>
      </c>
      <c r="L128" s="20" t="s">
        <v>551</v>
      </c>
      <c r="M128" s="20">
        <v>1121</v>
      </c>
      <c r="N128" s="20"/>
      <c r="O128" s="24" t="s">
        <v>742</v>
      </c>
      <c r="P128" s="24" t="s">
        <v>744</v>
      </c>
      <c r="Q128" s="24" t="s">
        <v>746</v>
      </c>
    </row>
    <row r="129" spans="1:17" ht="20.25" customHeight="1" x14ac:dyDescent="0.4">
      <c r="A129" s="54" t="s">
        <v>407</v>
      </c>
      <c r="B129" s="20">
        <v>209699</v>
      </c>
      <c r="C129" s="20" t="s">
        <v>8</v>
      </c>
      <c r="D129" s="20" t="s">
        <v>787</v>
      </c>
      <c r="E129" s="20" t="s">
        <v>217</v>
      </c>
      <c r="F129" s="21">
        <v>45037</v>
      </c>
      <c r="G129" s="22" t="s">
        <v>12</v>
      </c>
      <c r="H129" s="20">
        <v>24</v>
      </c>
      <c r="I129" s="21" cm="1">
        <f t="array" ref="I129">_xlfn.IFS(NOT(OR($H129=12, $H129=24)), "-", $H129=12, (DATE(YEAR($F129)+1, MONTH($F129), DAY($F129))), $H129=24, (DATE(YEAR($F129)+2, MONTH($F129), DAY($F129))))</f>
        <v>45768</v>
      </c>
      <c r="J129" s="20" t="s">
        <v>12</v>
      </c>
      <c r="K129" s="20">
        <v>2021</v>
      </c>
      <c r="L129" s="20" t="s">
        <v>601</v>
      </c>
      <c r="M129" s="20">
        <v>1069</v>
      </c>
      <c r="N129" s="20"/>
      <c r="O129" s="24" t="s">
        <v>742</v>
      </c>
      <c r="P129" s="24" t="s">
        <v>744</v>
      </c>
      <c r="Q129" s="24" t="s">
        <v>746</v>
      </c>
    </row>
    <row r="130" spans="1:17" ht="20.25" customHeight="1" x14ac:dyDescent="0.4">
      <c r="A130" s="54" t="s">
        <v>284</v>
      </c>
      <c r="B130" s="20" t="s">
        <v>408</v>
      </c>
      <c r="C130" s="20" t="s">
        <v>508</v>
      </c>
      <c r="D130" s="20" t="s">
        <v>787</v>
      </c>
      <c r="E130" s="20" t="s">
        <v>217</v>
      </c>
      <c r="F130" s="21">
        <v>45558</v>
      </c>
      <c r="G130" s="22" t="s">
        <v>12</v>
      </c>
      <c r="H130" s="20">
        <v>12</v>
      </c>
      <c r="I130" s="21" cm="1">
        <f t="array" ref="I130">_xlfn.IFS(NOT(OR($H130=12, $H130=24)), "-", $H130=12, (DATE(YEAR($F130)+1, MONTH($F130), DAY($F130))), $H130=24, (DATE(YEAR($F130)+2, MONTH($F130), DAY($F130))))</f>
        <v>45923</v>
      </c>
      <c r="J130" s="20" t="s">
        <v>12</v>
      </c>
      <c r="K130" s="20">
        <v>2021</v>
      </c>
      <c r="L130" s="20" t="s">
        <v>52</v>
      </c>
      <c r="M130" s="20">
        <v>7645</v>
      </c>
      <c r="N130" s="20"/>
      <c r="O130" s="24" t="s">
        <v>743</v>
      </c>
      <c r="P130" s="24" t="s">
        <v>744</v>
      </c>
      <c r="Q130" s="24" t="s">
        <v>746</v>
      </c>
    </row>
    <row r="131" spans="1:17" ht="20.25" customHeight="1" x14ac:dyDescent="0.4">
      <c r="A131" s="54" t="s">
        <v>409</v>
      </c>
      <c r="B131" s="20">
        <v>209697</v>
      </c>
      <c r="C131" s="30" t="s">
        <v>509</v>
      </c>
      <c r="D131" s="20" t="s">
        <v>787</v>
      </c>
      <c r="E131" s="30" t="s">
        <v>217</v>
      </c>
      <c r="F131" s="21">
        <v>45496</v>
      </c>
      <c r="G131" s="31" t="s">
        <v>1</v>
      </c>
      <c r="H131" s="30">
        <v>12</v>
      </c>
      <c r="I131" s="21" cm="1">
        <f t="array" ref="I131">_xlfn.IFS(NOT(OR($H131=12, $H131=24)), "-", $H131=12, (DATE(YEAR($F131)+1, MONTH($F131), DAY($F131))), $H131=24, (DATE(YEAR($F131)+2, MONTH($F131), DAY($F131))))</f>
        <v>45861</v>
      </c>
      <c r="J131" s="30" t="s">
        <v>18</v>
      </c>
      <c r="K131" s="20">
        <v>2021</v>
      </c>
      <c r="L131" s="30" t="s">
        <v>19</v>
      </c>
      <c r="M131" s="30">
        <v>3851</v>
      </c>
      <c r="N131" s="30"/>
      <c r="O131" s="24" t="s">
        <v>742</v>
      </c>
      <c r="P131" s="24" t="s">
        <v>768</v>
      </c>
      <c r="Q131" s="24" t="s">
        <v>746</v>
      </c>
    </row>
    <row r="132" spans="1:17" ht="20.25" customHeight="1" x14ac:dyDescent="0.4">
      <c r="A132" s="54" t="s">
        <v>410</v>
      </c>
      <c r="B132" s="20">
        <v>209696</v>
      </c>
      <c r="C132" s="30" t="s">
        <v>509</v>
      </c>
      <c r="D132" s="20" t="s">
        <v>787</v>
      </c>
      <c r="E132" s="30" t="s">
        <v>217</v>
      </c>
      <c r="F132" s="21">
        <v>45496</v>
      </c>
      <c r="G132" s="31" t="s">
        <v>1</v>
      </c>
      <c r="H132" s="30">
        <v>12</v>
      </c>
      <c r="I132" s="21" cm="1">
        <f t="array" ref="I132">_xlfn.IFS(NOT(OR($H132=12, $H132=24)), "-", $H132=12, (DATE(YEAR($F132)+1, MONTH($F132), DAY($F132))), $H132=24, (DATE(YEAR($F132)+2, MONTH($F132), DAY($F132))))</f>
        <v>45861</v>
      </c>
      <c r="J132" s="30" t="s">
        <v>18</v>
      </c>
      <c r="K132" s="20">
        <v>2021</v>
      </c>
      <c r="L132" s="30" t="s">
        <v>19</v>
      </c>
      <c r="M132" s="30">
        <v>3862</v>
      </c>
      <c r="N132" s="32"/>
      <c r="O132" s="24" t="s">
        <v>743</v>
      </c>
      <c r="P132" s="24" t="s">
        <v>768</v>
      </c>
      <c r="Q132" s="24" t="s">
        <v>746</v>
      </c>
    </row>
    <row r="133" spans="1:17" ht="20.25" customHeight="1" x14ac:dyDescent="0.4">
      <c r="A133" s="54" t="s">
        <v>285</v>
      </c>
      <c r="B133" s="20" t="s">
        <v>411</v>
      </c>
      <c r="C133" s="33" t="s">
        <v>8</v>
      </c>
      <c r="D133" s="20" t="s">
        <v>787</v>
      </c>
      <c r="E133" s="33" t="s">
        <v>217</v>
      </c>
      <c r="F133" s="21">
        <v>45034</v>
      </c>
      <c r="G133" s="34" t="s">
        <v>12</v>
      </c>
      <c r="H133" s="33">
        <v>24</v>
      </c>
      <c r="I133" s="21" cm="1">
        <f t="array" ref="I133">_xlfn.IFS(NOT(OR($H133=12, $H133=24)), "-", $H133=12, (DATE(YEAR($F133)+1, MONTH($F133), DAY($F133))), $H133=24, (DATE(YEAR($F133)+2, MONTH($F133), DAY($F133))))</f>
        <v>45765</v>
      </c>
      <c r="J133" s="33" t="s">
        <v>12</v>
      </c>
      <c r="K133" s="20">
        <v>2021</v>
      </c>
      <c r="L133" s="33" t="s">
        <v>43</v>
      </c>
      <c r="M133" s="33">
        <v>1205</v>
      </c>
      <c r="N133" s="35"/>
      <c r="O133" s="24" t="s">
        <v>743</v>
      </c>
      <c r="P133" s="24" t="s">
        <v>744</v>
      </c>
      <c r="Q133" s="24" t="s">
        <v>746</v>
      </c>
    </row>
    <row r="134" spans="1:17" ht="20.25" customHeight="1" x14ac:dyDescent="0.4">
      <c r="A134" s="54" t="s">
        <v>286</v>
      </c>
      <c r="B134" s="20" t="s">
        <v>412</v>
      </c>
      <c r="C134" s="33" t="s">
        <v>8</v>
      </c>
      <c r="D134" s="20" t="s">
        <v>787</v>
      </c>
      <c r="E134" s="33" t="s">
        <v>217</v>
      </c>
      <c r="F134" s="21">
        <v>44825</v>
      </c>
      <c r="G134" s="34" t="s">
        <v>12</v>
      </c>
      <c r="H134" s="33">
        <v>24</v>
      </c>
      <c r="I134" s="21" cm="1">
        <f t="array" ref="I134">_xlfn.IFS(NOT(OR($H134=12, $H134=24)), "-", $H134=12, (DATE(YEAR($F134)+1, MONTH($F134), DAY($F134))), $H134=24, (DATE(YEAR($F134)+2, MONTH($F134), DAY($F134))))</f>
        <v>45556</v>
      </c>
      <c r="J134" s="36" t="s">
        <v>12</v>
      </c>
      <c r="K134" s="20">
        <v>2021</v>
      </c>
      <c r="L134" s="33" t="s">
        <v>24</v>
      </c>
      <c r="M134" s="33">
        <v>1180</v>
      </c>
      <c r="N134" s="35"/>
      <c r="O134" s="24" t="s">
        <v>743</v>
      </c>
      <c r="P134" s="24" t="s">
        <v>744</v>
      </c>
      <c r="Q134" s="24" t="s">
        <v>769</v>
      </c>
    </row>
    <row r="135" spans="1:17" ht="20.25" customHeight="1" x14ac:dyDescent="0.4">
      <c r="A135" s="54" t="s">
        <v>413</v>
      </c>
      <c r="B135" s="20" t="s">
        <v>414</v>
      </c>
      <c r="C135" s="33" t="s">
        <v>8</v>
      </c>
      <c r="D135" s="20" t="s">
        <v>787</v>
      </c>
      <c r="E135" s="33" t="s">
        <v>217</v>
      </c>
      <c r="F135" s="21">
        <v>45041</v>
      </c>
      <c r="G135" s="34" t="s">
        <v>12</v>
      </c>
      <c r="H135" s="33">
        <v>24</v>
      </c>
      <c r="I135" s="21" cm="1">
        <f t="array" ref="I135">_xlfn.IFS(NOT(OR($H135=12, $H135=24)), "-", $H135=12, (DATE(YEAR($F135)+1, MONTH($F135), DAY($F135))), $H135=24, (DATE(YEAR($F135)+2, MONTH($F135), DAY($F135))))</f>
        <v>45772</v>
      </c>
      <c r="J135" s="36" t="s">
        <v>12</v>
      </c>
      <c r="K135" s="20">
        <v>2021</v>
      </c>
      <c r="L135" s="33" t="s">
        <v>548</v>
      </c>
      <c r="M135" s="33">
        <v>1115</v>
      </c>
      <c r="N135" s="35"/>
      <c r="O135" s="24" t="s">
        <v>743</v>
      </c>
      <c r="P135" s="24" t="s">
        <v>744</v>
      </c>
      <c r="Q135" s="24" t="s">
        <v>746</v>
      </c>
    </row>
    <row r="136" spans="1:17" ht="20.25" customHeight="1" x14ac:dyDescent="0.4">
      <c r="A136" s="54" t="s">
        <v>415</v>
      </c>
      <c r="B136" s="20" t="s">
        <v>416</v>
      </c>
      <c r="C136" s="33" t="s">
        <v>8</v>
      </c>
      <c r="D136" s="20" t="s">
        <v>787</v>
      </c>
      <c r="E136" s="33" t="s">
        <v>217</v>
      </c>
      <c r="F136" s="21">
        <v>45041</v>
      </c>
      <c r="G136" s="34" t="s">
        <v>12</v>
      </c>
      <c r="H136" s="33">
        <v>24</v>
      </c>
      <c r="I136" s="21" cm="1">
        <f t="array" ref="I136">_xlfn.IFS(NOT(OR($H136=12, $H136=24)), "-", $H136=12, (DATE(YEAR($F136)+1, MONTH($F136), DAY($F136))), $H136=24, (DATE(YEAR($F136)+2, MONTH($F136), DAY($F136))))</f>
        <v>45772</v>
      </c>
      <c r="J136" s="36" t="s">
        <v>12</v>
      </c>
      <c r="K136" s="20">
        <v>2021</v>
      </c>
      <c r="L136" s="33" t="s">
        <v>161</v>
      </c>
      <c r="M136" s="33">
        <v>1178</v>
      </c>
      <c r="N136" s="35"/>
      <c r="O136" s="24" t="s">
        <v>743</v>
      </c>
      <c r="P136" s="24" t="s">
        <v>744</v>
      </c>
      <c r="Q136" s="24" t="s">
        <v>746</v>
      </c>
    </row>
    <row r="137" spans="1:17" ht="20.25" customHeight="1" x14ac:dyDescent="0.4">
      <c r="A137" s="54" t="s">
        <v>417</v>
      </c>
      <c r="B137" s="20" t="s">
        <v>418</v>
      </c>
      <c r="C137" s="33" t="s">
        <v>8</v>
      </c>
      <c r="D137" s="20" t="s">
        <v>787</v>
      </c>
      <c r="E137" s="33" t="s">
        <v>217</v>
      </c>
      <c r="F137" s="21">
        <v>45037</v>
      </c>
      <c r="G137" s="34" t="s">
        <v>12</v>
      </c>
      <c r="H137" s="33">
        <v>24</v>
      </c>
      <c r="I137" s="21" cm="1">
        <f t="array" ref="I137">_xlfn.IFS(NOT(OR($H137=12, $H137=24)), "-", $H137=12, (DATE(YEAR($F137)+1, MONTH($F137), DAY($F137))), $H137=24, (DATE(YEAR($F137)+2, MONTH($F137), DAY($F137))))</f>
        <v>45768</v>
      </c>
      <c r="J137" s="36" t="s">
        <v>12</v>
      </c>
      <c r="K137" s="20">
        <v>2021</v>
      </c>
      <c r="L137" s="37" t="s">
        <v>47</v>
      </c>
      <c r="M137" s="33">
        <v>1325</v>
      </c>
      <c r="N137" s="35"/>
      <c r="O137" s="24" t="s">
        <v>743</v>
      </c>
      <c r="P137" s="24" t="s">
        <v>744</v>
      </c>
      <c r="Q137" s="24" t="s">
        <v>746</v>
      </c>
    </row>
    <row r="138" spans="1:17" ht="20.25" customHeight="1" x14ac:dyDescent="0.4">
      <c r="A138" s="54" t="s">
        <v>287</v>
      </c>
      <c r="B138" s="20" t="s">
        <v>419</v>
      </c>
      <c r="C138" s="33" t="s">
        <v>8</v>
      </c>
      <c r="D138" s="20" t="s">
        <v>787</v>
      </c>
      <c r="E138" s="33" t="s">
        <v>217</v>
      </c>
      <c r="F138" s="21">
        <v>45454</v>
      </c>
      <c r="G138" s="34" t="s">
        <v>12</v>
      </c>
      <c r="H138" s="33">
        <v>24</v>
      </c>
      <c r="I138" s="21" cm="1">
        <f t="array" ref="I138">_xlfn.IFS(NOT(OR($H138=12, $H138=24)), "-", $H138=12, (DATE(YEAR($F138)+1, MONTH($F138), DAY($F138))), $H138=24, (DATE(YEAR($F138)+2, MONTH($F138), DAY($F138))))</f>
        <v>46184</v>
      </c>
      <c r="J138" s="33" t="s">
        <v>12</v>
      </c>
      <c r="K138" s="20">
        <v>2021</v>
      </c>
      <c r="L138" s="33" t="s">
        <v>602</v>
      </c>
      <c r="M138" s="33">
        <v>1010</v>
      </c>
      <c r="N138" s="35"/>
      <c r="O138" s="24" t="s">
        <v>743</v>
      </c>
      <c r="P138" s="24" t="s">
        <v>744</v>
      </c>
      <c r="Q138" s="24" t="s">
        <v>746</v>
      </c>
    </row>
    <row r="139" spans="1:17" ht="20.25" customHeight="1" x14ac:dyDescent="0.4">
      <c r="A139" s="54" t="s">
        <v>288</v>
      </c>
      <c r="B139" s="20" t="s">
        <v>420</v>
      </c>
      <c r="C139" s="33" t="s">
        <v>508</v>
      </c>
      <c r="D139" s="20" t="s">
        <v>787</v>
      </c>
      <c r="E139" s="33" t="s">
        <v>217</v>
      </c>
      <c r="F139" s="21">
        <v>45369</v>
      </c>
      <c r="G139" s="34" t="s">
        <v>12</v>
      </c>
      <c r="H139" s="33">
        <v>12</v>
      </c>
      <c r="I139" s="21" cm="1">
        <f t="array" ref="I139">_xlfn.IFS(NOT(OR($H139=12, $H139=24)), "-", $H139=12, (DATE(YEAR($F139)+1, MONTH($F139), DAY($F139))), $H139=24, (DATE(YEAR($F139)+2, MONTH($F139), DAY($F139))))</f>
        <v>45734</v>
      </c>
      <c r="J139" s="33" t="s">
        <v>12</v>
      </c>
      <c r="K139" s="20">
        <v>2021</v>
      </c>
      <c r="L139" s="33" t="s">
        <v>52</v>
      </c>
      <c r="M139" s="33">
        <v>7651</v>
      </c>
      <c r="N139" s="35"/>
      <c r="O139" s="24" t="s">
        <v>743</v>
      </c>
      <c r="P139" s="24" t="s">
        <v>744</v>
      </c>
      <c r="Q139" s="24" t="s">
        <v>746</v>
      </c>
    </row>
    <row r="140" spans="1:17" ht="20.25" customHeight="1" x14ac:dyDescent="0.4">
      <c r="A140" s="54" t="s">
        <v>421</v>
      </c>
      <c r="B140" s="20" t="s">
        <v>422</v>
      </c>
      <c r="C140" s="33" t="s">
        <v>508</v>
      </c>
      <c r="D140" s="20" t="s">
        <v>787</v>
      </c>
      <c r="E140" s="33" t="s">
        <v>217</v>
      </c>
      <c r="F140" s="21">
        <v>45404</v>
      </c>
      <c r="G140" s="34" t="s">
        <v>12</v>
      </c>
      <c r="H140" s="33">
        <v>12</v>
      </c>
      <c r="I140" s="21" cm="1">
        <f t="array" ref="I140">_xlfn.IFS(NOT(OR($H140=12, $H140=24)), "-", $H140=12, (DATE(YEAR($F140)+1, MONTH($F140), DAY($F140))), $H140=24, (DATE(YEAR($F140)+2, MONTH($F140), DAY($F140))))</f>
        <v>45769</v>
      </c>
      <c r="J140" s="33" t="s">
        <v>12</v>
      </c>
      <c r="K140" s="20">
        <v>2021</v>
      </c>
      <c r="L140" s="33" t="s">
        <v>52</v>
      </c>
      <c r="M140" s="33">
        <v>7652</v>
      </c>
      <c r="N140" s="35"/>
      <c r="O140" s="24" t="s">
        <v>743</v>
      </c>
      <c r="P140" s="24" t="s">
        <v>744</v>
      </c>
      <c r="Q140" s="24" t="s">
        <v>746</v>
      </c>
    </row>
    <row r="141" spans="1:17" ht="20.25" customHeight="1" x14ac:dyDescent="0.4">
      <c r="A141" s="54" t="s">
        <v>289</v>
      </c>
      <c r="B141" s="20" t="s">
        <v>423</v>
      </c>
      <c r="C141" s="33" t="s">
        <v>508</v>
      </c>
      <c r="D141" s="20" t="s">
        <v>787</v>
      </c>
      <c r="E141" s="33" t="s">
        <v>217</v>
      </c>
      <c r="F141" s="21">
        <v>45366</v>
      </c>
      <c r="G141" s="34" t="s">
        <v>12</v>
      </c>
      <c r="H141" s="33">
        <v>12</v>
      </c>
      <c r="I141" s="21" cm="1">
        <f t="array" ref="I141">_xlfn.IFS(NOT(OR($H141=12, $H141=24)), "-", $H141=12, (DATE(YEAR($F141)+1, MONTH($F141), DAY($F141))), $H141=24, (DATE(YEAR($F141)+2, MONTH($F141), DAY($F141))))</f>
        <v>45731</v>
      </c>
      <c r="J141" s="33" t="s">
        <v>12</v>
      </c>
      <c r="K141" s="20">
        <v>2021</v>
      </c>
      <c r="L141" s="33" t="s">
        <v>52</v>
      </c>
      <c r="M141" s="33">
        <v>7646</v>
      </c>
      <c r="N141" s="35"/>
      <c r="O141" s="24" t="s">
        <v>743</v>
      </c>
      <c r="P141" s="24" t="s">
        <v>744</v>
      </c>
      <c r="Q141" s="24" t="s">
        <v>746</v>
      </c>
    </row>
    <row r="142" spans="1:17" ht="20.25" customHeight="1" x14ac:dyDescent="0.4">
      <c r="A142" s="54" t="s">
        <v>290</v>
      </c>
      <c r="B142" s="20">
        <v>209660</v>
      </c>
      <c r="C142" s="20" t="s">
        <v>38</v>
      </c>
      <c r="D142" s="20" t="s">
        <v>787</v>
      </c>
      <c r="E142" s="20" t="s">
        <v>217</v>
      </c>
      <c r="F142" s="21">
        <v>45427</v>
      </c>
      <c r="G142" s="38" t="s">
        <v>12</v>
      </c>
      <c r="H142" s="20">
        <v>12</v>
      </c>
      <c r="I142" s="21" cm="1">
        <f t="array" ref="I142">_xlfn.IFS(NOT(OR($H142=12, $H142=24)), "-", $H142=12, (DATE(YEAR($F142)+1, MONTH($F142), DAY($F142))), $H142=24, (DATE(YEAR($F142)+2, MONTH($F142), DAY($F142))))</f>
        <v>45792</v>
      </c>
      <c r="J142" s="20" t="s">
        <v>12</v>
      </c>
      <c r="K142" s="20">
        <v>2021</v>
      </c>
      <c r="L142" s="20" t="s">
        <v>566</v>
      </c>
      <c r="M142" s="20">
        <v>1670</v>
      </c>
      <c r="N142" s="23"/>
      <c r="O142" s="24" t="s">
        <v>743</v>
      </c>
      <c r="P142" s="24" t="s">
        <v>744</v>
      </c>
      <c r="Q142" s="24" t="s">
        <v>746</v>
      </c>
    </row>
    <row r="143" spans="1:17" ht="20.25" customHeight="1" x14ac:dyDescent="0.4">
      <c r="A143" s="54" t="s">
        <v>291</v>
      </c>
      <c r="B143" s="20">
        <v>209658</v>
      </c>
      <c r="C143" s="20" t="s">
        <v>38</v>
      </c>
      <c r="D143" s="20" t="s">
        <v>787</v>
      </c>
      <c r="E143" s="20" t="s">
        <v>217</v>
      </c>
      <c r="F143" s="21">
        <v>45400</v>
      </c>
      <c r="G143" s="38" t="s">
        <v>12</v>
      </c>
      <c r="H143" s="20">
        <v>12</v>
      </c>
      <c r="I143" s="21" cm="1">
        <f t="array" ref="I143">_xlfn.IFS(NOT(OR($H143=12, $H143=24)), "-", $H143=12, (DATE(YEAR($F143)+1, MONTH($F143), DAY($F143))), $H143=24, (DATE(YEAR($F143)+2, MONTH($F143), DAY($F143))))</f>
        <v>45765</v>
      </c>
      <c r="J143" s="20" t="s">
        <v>12</v>
      </c>
      <c r="K143" s="20">
        <v>2021</v>
      </c>
      <c r="L143" s="20" t="s">
        <v>566</v>
      </c>
      <c r="M143" s="20">
        <v>1671</v>
      </c>
      <c r="N143" s="20"/>
      <c r="O143" s="24" t="s">
        <v>743</v>
      </c>
      <c r="P143" s="24" t="s">
        <v>744</v>
      </c>
      <c r="Q143" s="24" t="s">
        <v>746</v>
      </c>
    </row>
    <row r="144" spans="1:17" ht="20.25" customHeight="1" x14ac:dyDescent="0.4">
      <c r="A144" s="54" t="s">
        <v>424</v>
      </c>
      <c r="B144" s="20">
        <v>209655</v>
      </c>
      <c r="C144" s="20" t="s">
        <v>38</v>
      </c>
      <c r="D144" s="20" t="s">
        <v>787</v>
      </c>
      <c r="E144" s="20" t="s">
        <v>217</v>
      </c>
      <c r="F144" s="21">
        <v>45365</v>
      </c>
      <c r="G144" s="38" t="s">
        <v>12</v>
      </c>
      <c r="H144" s="20">
        <v>12</v>
      </c>
      <c r="I144" s="21" cm="1">
        <f t="array" ref="I144">_xlfn.IFS(NOT(OR($H144=12, $H144=24)), "-", $H144=12, (DATE(YEAR($F144)+1, MONTH($F144), DAY($F144))), $H144=24, (DATE(YEAR($F144)+2, MONTH($F144), DAY($F144))))</f>
        <v>45730</v>
      </c>
      <c r="J144" s="20" t="s">
        <v>12</v>
      </c>
      <c r="K144" s="20">
        <v>2021</v>
      </c>
      <c r="L144" s="20" t="s">
        <v>566</v>
      </c>
      <c r="M144" s="20">
        <v>1667</v>
      </c>
      <c r="N144" s="20"/>
      <c r="O144" s="24" t="s">
        <v>743</v>
      </c>
      <c r="P144" s="24" t="s">
        <v>744</v>
      </c>
      <c r="Q144" s="24" t="s">
        <v>746</v>
      </c>
    </row>
    <row r="145" spans="1:17" ht="20.25" customHeight="1" x14ac:dyDescent="0.4">
      <c r="A145" s="54" t="s">
        <v>425</v>
      </c>
      <c r="B145" s="20">
        <v>209653</v>
      </c>
      <c r="C145" s="20" t="s">
        <v>38</v>
      </c>
      <c r="D145" s="20" t="s">
        <v>787</v>
      </c>
      <c r="E145" s="20" t="s">
        <v>217</v>
      </c>
      <c r="F145" s="21">
        <v>45400</v>
      </c>
      <c r="G145" s="38" t="s">
        <v>12</v>
      </c>
      <c r="H145" s="20">
        <v>12</v>
      </c>
      <c r="I145" s="21" cm="1">
        <f t="array" ref="I145">_xlfn.IFS(NOT(OR($H145=12, $H145=24)), "-", $H145=12, (DATE(YEAR($F145)+1, MONTH($F145), DAY($F145))), $H145=24, (DATE(YEAR($F145)+2, MONTH($F145), DAY($F145))))</f>
        <v>45765</v>
      </c>
      <c r="J145" s="20" t="s">
        <v>12</v>
      </c>
      <c r="K145" s="20">
        <v>2021</v>
      </c>
      <c r="L145" s="20" t="s">
        <v>566</v>
      </c>
      <c r="M145" s="20">
        <v>1668</v>
      </c>
      <c r="N145" s="20"/>
      <c r="O145" s="24" t="s">
        <v>743</v>
      </c>
      <c r="P145" s="24" t="s">
        <v>744</v>
      </c>
      <c r="Q145" s="24" t="s">
        <v>746</v>
      </c>
    </row>
    <row r="146" spans="1:17" ht="20.25" customHeight="1" x14ac:dyDescent="0.4">
      <c r="A146" s="54" t="s">
        <v>292</v>
      </c>
      <c r="B146" s="20">
        <v>209648</v>
      </c>
      <c r="C146" s="20" t="s">
        <v>494</v>
      </c>
      <c r="D146" s="20" t="s">
        <v>787</v>
      </c>
      <c r="E146" s="20" t="s">
        <v>217</v>
      </c>
      <c r="F146" s="21">
        <v>45335</v>
      </c>
      <c r="G146" s="22" t="s">
        <v>12</v>
      </c>
      <c r="H146" s="20">
        <v>12</v>
      </c>
      <c r="I146" s="21" cm="1">
        <f t="array" ref="I146">_xlfn.IFS(NOT(OR($H146=12, $H146=24)), "-", $H146=12, (DATE(YEAR($F146)+1, MONTH($F146), DAY($F146))), $H146=24, (DATE(YEAR($F146)+2, MONTH($F146), DAY($F146))))</f>
        <v>45701</v>
      </c>
      <c r="J146" s="20" t="s">
        <v>12</v>
      </c>
      <c r="K146" s="20">
        <v>2021</v>
      </c>
      <c r="L146" s="20" t="s">
        <v>575</v>
      </c>
      <c r="M146" s="20">
        <v>9559</v>
      </c>
      <c r="N146" s="23"/>
      <c r="O146" s="24" t="s">
        <v>743</v>
      </c>
      <c r="P146" s="24" t="s">
        <v>744</v>
      </c>
      <c r="Q146" s="24" t="s">
        <v>746</v>
      </c>
    </row>
    <row r="147" spans="1:17" ht="20.25" customHeight="1" x14ac:dyDescent="0.4">
      <c r="A147" s="54" t="s">
        <v>293</v>
      </c>
      <c r="B147" s="20">
        <v>209646</v>
      </c>
      <c r="C147" s="20" t="s">
        <v>494</v>
      </c>
      <c r="D147" s="20" t="s">
        <v>787</v>
      </c>
      <c r="E147" s="20" t="s">
        <v>217</v>
      </c>
      <c r="F147" s="21">
        <v>45337</v>
      </c>
      <c r="G147" s="22" t="s">
        <v>12</v>
      </c>
      <c r="H147" s="20">
        <v>12</v>
      </c>
      <c r="I147" s="21" cm="1">
        <f t="array" ref="I147">_xlfn.IFS(NOT(OR($H147=12, $H147=24)), "-", $H147=12, (DATE(YEAR($F147)+1, MONTH($F147), DAY($F147))), $H147=24, (DATE(YEAR($F147)+2, MONTH($F147), DAY($F147))))</f>
        <v>45703</v>
      </c>
      <c r="J147" s="20" t="s">
        <v>12</v>
      </c>
      <c r="K147" s="20">
        <v>2021</v>
      </c>
      <c r="L147" s="20" t="s">
        <v>575</v>
      </c>
      <c r="M147" s="20">
        <v>9536</v>
      </c>
      <c r="N147" s="23"/>
      <c r="O147" s="24" t="s">
        <v>743</v>
      </c>
      <c r="P147" s="24" t="s">
        <v>744</v>
      </c>
      <c r="Q147" s="24" t="s">
        <v>746</v>
      </c>
    </row>
    <row r="148" spans="1:17" ht="20.25" customHeight="1" x14ac:dyDescent="0.4">
      <c r="A148" s="54" t="s">
        <v>294</v>
      </c>
      <c r="B148" s="20" t="s">
        <v>426</v>
      </c>
      <c r="C148" s="20" t="s">
        <v>251</v>
      </c>
      <c r="D148" s="20" t="s">
        <v>787</v>
      </c>
      <c r="E148" s="20" t="s">
        <v>217</v>
      </c>
      <c r="F148" s="21">
        <v>45341</v>
      </c>
      <c r="G148" s="22" t="s">
        <v>12</v>
      </c>
      <c r="H148" s="20">
        <v>12</v>
      </c>
      <c r="I148" s="21" cm="1">
        <f t="array" ref="I148">_xlfn.IFS(NOT(OR($H148=12, $H148=24)), "-", $H148=12, (DATE(YEAR($F148)+1, MONTH($F148), DAY($F148))), $H148=24, (DATE(YEAR($F148)+2, MONTH($F148), DAY($F148))))</f>
        <v>45707</v>
      </c>
      <c r="J148" s="20" t="s">
        <v>12</v>
      </c>
      <c r="K148" s="20">
        <v>2021</v>
      </c>
      <c r="L148" s="20" t="s">
        <v>603</v>
      </c>
      <c r="M148" s="20">
        <v>1082</v>
      </c>
      <c r="N148" s="23"/>
      <c r="O148" s="24" t="s">
        <v>743</v>
      </c>
      <c r="P148" s="24" t="s">
        <v>744</v>
      </c>
      <c r="Q148" s="24" t="s">
        <v>746</v>
      </c>
    </row>
    <row r="149" spans="1:17" ht="20.25" customHeight="1" x14ac:dyDescent="0.4">
      <c r="A149" s="54" t="s">
        <v>427</v>
      </c>
      <c r="B149" s="20" t="s">
        <v>428</v>
      </c>
      <c r="C149" s="20" t="s">
        <v>295</v>
      </c>
      <c r="D149" s="20" t="s">
        <v>787</v>
      </c>
      <c r="E149" s="20" t="s">
        <v>217</v>
      </c>
      <c r="F149" s="21">
        <v>45363</v>
      </c>
      <c r="G149" s="22" t="s">
        <v>12</v>
      </c>
      <c r="H149" s="20">
        <v>12</v>
      </c>
      <c r="I149" s="21" cm="1">
        <f t="array" ref="I149">_xlfn.IFS(NOT(OR($H149=12, $H149=24)), "-", $H149=12, (DATE(YEAR($F149)+1, MONTH($F149), DAY($F149))), $H149=24, (DATE(YEAR($F149)+2, MONTH($F149), DAY($F149))))</f>
        <v>45728</v>
      </c>
      <c r="J149" s="20" t="s">
        <v>12</v>
      </c>
      <c r="K149" s="20">
        <v>2021</v>
      </c>
      <c r="L149" s="20" t="s">
        <v>559</v>
      </c>
      <c r="M149" s="20">
        <v>1133</v>
      </c>
      <c r="N149" s="23"/>
      <c r="O149" s="24" t="s">
        <v>743</v>
      </c>
      <c r="P149" s="24" t="s">
        <v>744</v>
      </c>
      <c r="Q149" s="24" t="s">
        <v>746</v>
      </c>
    </row>
    <row r="150" spans="1:17" ht="20.25" customHeight="1" x14ac:dyDescent="0.4">
      <c r="A150" s="54" t="s">
        <v>429</v>
      </c>
      <c r="B150" s="20" t="s">
        <v>430</v>
      </c>
      <c r="C150" s="30" t="s">
        <v>295</v>
      </c>
      <c r="D150" s="20" t="s">
        <v>787</v>
      </c>
      <c r="E150" s="30" t="s">
        <v>217</v>
      </c>
      <c r="F150" s="21">
        <v>45404</v>
      </c>
      <c r="G150" s="31" t="s">
        <v>12</v>
      </c>
      <c r="H150" s="30">
        <v>12</v>
      </c>
      <c r="I150" s="21" cm="1">
        <f t="array" ref="I150">_xlfn.IFS(NOT(OR($H150=12, $H150=24)), "-", $H150=12, (DATE(YEAR($F150)+1, MONTH($F150), DAY($F150))), $H150=24, (DATE(YEAR($F150)+2, MONTH($F150), DAY($F150))))</f>
        <v>45769</v>
      </c>
      <c r="J150" s="30" t="s">
        <v>12</v>
      </c>
      <c r="K150" s="20">
        <v>2021</v>
      </c>
      <c r="L150" s="30" t="s">
        <v>559</v>
      </c>
      <c r="M150" s="30">
        <v>1134</v>
      </c>
      <c r="N150" s="30"/>
      <c r="O150" s="24" t="s">
        <v>743</v>
      </c>
      <c r="P150" s="24" t="s">
        <v>744</v>
      </c>
      <c r="Q150" s="24" t="s">
        <v>746</v>
      </c>
    </row>
    <row r="151" spans="1:17" ht="20.25" customHeight="1" x14ac:dyDescent="0.4">
      <c r="A151" s="54" t="s">
        <v>296</v>
      </c>
      <c r="B151" s="20" t="s">
        <v>430</v>
      </c>
      <c r="C151" s="24" t="s">
        <v>297</v>
      </c>
      <c r="D151" s="20" t="s">
        <v>787</v>
      </c>
      <c r="E151" s="24" t="s">
        <v>217</v>
      </c>
      <c r="F151" s="21">
        <v>45397</v>
      </c>
      <c r="G151" s="40" t="s">
        <v>12</v>
      </c>
      <c r="H151" s="24">
        <v>12</v>
      </c>
      <c r="I151" s="21" cm="1">
        <f t="array" ref="I151">_xlfn.IFS(NOT(OR($H151=12, $H151=24)), "-", $H151=12, (DATE(YEAR($F151)+1, MONTH($F151), DAY($F151))), $H151=24, (DATE(YEAR($F151)+2, MONTH($F151), DAY($F151))))</f>
        <v>45762</v>
      </c>
      <c r="J151" s="41" t="s">
        <v>12</v>
      </c>
      <c r="K151" s="20">
        <v>2021</v>
      </c>
      <c r="L151" s="24" t="s">
        <v>560</v>
      </c>
      <c r="M151" s="24" t="s">
        <v>679</v>
      </c>
      <c r="N151" s="35"/>
      <c r="O151" s="24" t="s">
        <v>743</v>
      </c>
      <c r="P151" s="24" t="s">
        <v>744</v>
      </c>
      <c r="Q151" s="24" t="s">
        <v>746</v>
      </c>
    </row>
    <row r="152" spans="1:17" ht="20.25" customHeight="1" x14ac:dyDescent="0.4">
      <c r="A152" s="54" t="s">
        <v>298</v>
      </c>
      <c r="B152" s="20" t="s">
        <v>428</v>
      </c>
      <c r="C152" s="24" t="s">
        <v>297</v>
      </c>
      <c r="D152" s="20" t="s">
        <v>787</v>
      </c>
      <c r="E152" s="24" t="s">
        <v>217</v>
      </c>
      <c r="F152" s="21">
        <v>45372</v>
      </c>
      <c r="G152" s="40" t="s">
        <v>12</v>
      </c>
      <c r="H152" s="24">
        <v>12</v>
      </c>
      <c r="I152" s="21" cm="1">
        <f t="array" ref="I152">_xlfn.IFS(NOT(OR($H152=12, $H152=24)), "-", $H152=12, (DATE(YEAR($F152)+1, MONTH($F152), DAY($F152))), $H152=24, (DATE(YEAR($F152)+2, MONTH($F152), DAY($F152))))</f>
        <v>45737</v>
      </c>
      <c r="J152" s="41" t="s">
        <v>12</v>
      </c>
      <c r="K152" s="20">
        <v>2021</v>
      </c>
      <c r="L152" s="24" t="s">
        <v>560</v>
      </c>
      <c r="M152" s="24" t="s">
        <v>680</v>
      </c>
      <c r="N152" s="35"/>
      <c r="O152" s="24" t="s">
        <v>743</v>
      </c>
      <c r="P152" s="24" t="s">
        <v>744</v>
      </c>
      <c r="Q152" s="24" t="s">
        <v>746</v>
      </c>
    </row>
    <row r="153" spans="1:17" ht="20.25" customHeight="1" x14ac:dyDescent="0.4">
      <c r="A153" s="54" t="s">
        <v>299</v>
      </c>
      <c r="B153" s="20" t="s">
        <v>431</v>
      </c>
      <c r="C153" s="24" t="s">
        <v>510</v>
      </c>
      <c r="D153" s="20" t="s">
        <v>787</v>
      </c>
      <c r="E153" s="24" t="s">
        <v>522</v>
      </c>
      <c r="F153" s="21" t="s">
        <v>320</v>
      </c>
      <c r="G153" s="40" t="s">
        <v>320</v>
      </c>
      <c r="H153" s="24" t="s">
        <v>320</v>
      </c>
      <c r="I153" s="21" t="str" cm="1">
        <f t="array" ref="I153">_xlfn.IFS(NOT(OR($H153=12, $H153=24)), "-", $H153=12, (DATE(YEAR($F153)+1, MONTH($F153), DAY($F153))), $H153=24, (DATE(YEAR($F153)+2, MONTH($F153), DAY($F153))))</f>
        <v>-</v>
      </c>
      <c r="J153" s="41" t="s">
        <v>12</v>
      </c>
      <c r="K153" s="20">
        <v>2021</v>
      </c>
      <c r="L153" s="24" t="s">
        <v>604</v>
      </c>
      <c r="M153" s="24" t="s">
        <v>645</v>
      </c>
      <c r="N153" s="35"/>
      <c r="O153" s="24" t="s">
        <v>743</v>
      </c>
      <c r="P153" s="24" t="s">
        <v>745</v>
      </c>
      <c r="Q153" s="24" t="s">
        <v>746</v>
      </c>
    </row>
    <row r="154" spans="1:17" ht="20.25" customHeight="1" x14ac:dyDescent="0.4">
      <c r="A154" s="54" t="s">
        <v>300</v>
      </c>
      <c r="B154" s="20" t="s">
        <v>432</v>
      </c>
      <c r="C154" s="24" t="s">
        <v>510</v>
      </c>
      <c r="D154" s="20" t="s">
        <v>787</v>
      </c>
      <c r="E154" s="24" t="s">
        <v>522</v>
      </c>
      <c r="F154" s="21" t="s">
        <v>320</v>
      </c>
      <c r="G154" s="40" t="s">
        <v>320</v>
      </c>
      <c r="H154" s="24" t="s">
        <v>320</v>
      </c>
      <c r="I154" s="21" t="str" cm="1">
        <f t="array" ref="I154">_xlfn.IFS(NOT(OR($H154=12, $H154=24)), "-", $H154=12, (DATE(YEAR($F154)+1, MONTH($F154), DAY($F154))), $H154=24, (DATE(YEAR($F154)+2, MONTH($F154), DAY($F154))))</f>
        <v>-</v>
      </c>
      <c r="J154" s="41" t="s">
        <v>12</v>
      </c>
      <c r="K154" s="20">
        <v>2021</v>
      </c>
      <c r="L154" s="24" t="s">
        <v>605</v>
      </c>
      <c r="M154" s="24" t="s">
        <v>681</v>
      </c>
      <c r="N154" s="35"/>
      <c r="O154" s="24" t="s">
        <v>743</v>
      </c>
      <c r="P154" s="24" t="s">
        <v>745</v>
      </c>
      <c r="Q154" s="24" t="s">
        <v>746</v>
      </c>
    </row>
    <row r="155" spans="1:17" ht="20.25" customHeight="1" x14ac:dyDescent="0.4">
      <c r="A155" s="54" t="s">
        <v>301</v>
      </c>
      <c r="B155" s="20" t="s">
        <v>433</v>
      </c>
      <c r="C155" s="24" t="s">
        <v>510</v>
      </c>
      <c r="D155" s="20" t="s">
        <v>787</v>
      </c>
      <c r="E155" s="24" t="s">
        <v>522</v>
      </c>
      <c r="F155" s="21" t="s">
        <v>320</v>
      </c>
      <c r="G155" s="40" t="s">
        <v>320</v>
      </c>
      <c r="H155" s="24" t="s">
        <v>320</v>
      </c>
      <c r="I155" s="21" t="str" cm="1">
        <f t="array" ref="I155">_xlfn.IFS(NOT(OR($H155=12, $H155=24)), "-", $H155=12, (DATE(YEAR($F155)+1, MONTH($F155), DAY($F155))), $H155=24, (DATE(YEAR($F155)+2, MONTH($F155), DAY($F155))))</f>
        <v>-</v>
      </c>
      <c r="J155" s="41" t="s">
        <v>12</v>
      </c>
      <c r="K155" s="20">
        <v>2021</v>
      </c>
      <c r="L155" s="24" t="s">
        <v>606</v>
      </c>
      <c r="M155" s="24" t="s">
        <v>682</v>
      </c>
      <c r="N155" s="35"/>
      <c r="O155" s="24" t="s">
        <v>743</v>
      </c>
      <c r="P155" s="24" t="s">
        <v>745</v>
      </c>
      <c r="Q155" s="24" t="s">
        <v>746</v>
      </c>
    </row>
    <row r="156" spans="1:17" ht="20.25" customHeight="1" x14ac:dyDescent="0.4">
      <c r="A156" s="54" t="s">
        <v>302</v>
      </c>
      <c r="B156" s="20" t="s">
        <v>434</v>
      </c>
      <c r="C156" s="20" t="s">
        <v>510</v>
      </c>
      <c r="D156" s="20" t="s">
        <v>787</v>
      </c>
      <c r="E156" s="20" t="s">
        <v>522</v>
      </c>
      <c r="F156" s="21" t="s">
        <v>320</v>
      </c>
      <c r="G156" s="22" t="s">
        <v>320</v>
      </c>
      <c r="H156" s="20" t="s">
        <v>320</v>
      </c>
      <c r="I156" s="21" t="str" cm="1">
        <f t="array" ref="I156">_xlfn.IFS(NOT(OR($H156=12, $H156=24)), "-", $H156=12, (DATE(YEAR($F156)+1, MONTH($F156), DAY($F156))), $H156=24, (DATE(YEAR($F156)+2, MONTH($F156), DAY($F156))))</f>
        <v>-</v>
      </c>
      <c r="J156" s="20" t="s">
        <v>12</v>
      </c>
      <c r="K156" s="20">
        <v>2021</v>
      </c>
      <c r="L156" s="20" t="s">
        <v>607</v>
      </c>
      <c r="M156" s="20" t="s">
        <v>646</v>
      </c>
      <c r="N156" s="20"/>
      <c r="O156" s="24" t="s">
        <v>743</v>
      </c>
      <c r="P156" s="24" t="s">
        <v>745</v>
      </c>
      <c r="Q156" s="24" t="s">
        <v>746</v>
      </c>
    </row>
    <row r="157" spans="1:17" ht="20.25" customHeight="1" x14ac:dyDescent="0.4">
      <c r="A157" s="54" t="s">
        <v>303</v>
      </c>
      <c r="B157" s="20" t="s">
        <v>435</v>
      </c>
      <c r="C157" s="20" t="s">
        <v>511</v>
      </c>
      <c r="D157" s="20" t="s">
        <v>787</v>
      </c>
      <c r="E157" s="20" t="s">
        <v>217</v>
      </c>
      <c r="F157" s="21">
        <v>45503</v>
      </c>
      <c r="G157" s="22" t="s">
        <v>1</v>
      </c>
      <c r="H157" s="20">
        <v>12</v>
      </c>
      <c r="I157" s="21" cm="1">
        <f t="array" ref="I157">_xlfn.IFS(NOT(OR($H157=12, $H157=24)), "-", $H157=12, (DATE(YEAR($F157)+1, MONTH($F157), DAY($F157))), $H157=24, (DATE(YEAR($F157)+2, MONTH($F157), DAY($F157))))</f>
        <v>45868</v>
      </c>
      <c r="J157" s="20" t="s">
        <v>529</v>
      </c>
      <c r="K157" s="20">
        <v>2021</v>
      </c>
      <c r="L157" s="20" t="s">
        <v>561</v>
      </c>
      <c r="M157" s="20" t="s">
        <v>683</v>
      </c>
      <c r="N157" s="20"/>
      <c r="O157" s="24" t="s">
        <v>743</v>
      </c>
      <c r="P157" s="24" t="s">
        <v>768</v>
      </c>
      <c r="Q157" s="24" t="s">
        <v>746</v>
      </c>
    </row>
    <row r="158" spans="1:17" ht="20.25" customHeight="1" x14ac:dyDescent="0.4">
      <c r="A158" s="54" t="s">
        <v>304</v>
      </c>
      <c r="B158" s="20" t="s">
        <v>436</v>
      </c>
      <c r="C158" s="20" t="s">
        <v>512</v>
      </c>
      <c r="D158" s="20" t="s">
        <v>787</v>
      </c>
      <c r="E158" s="20" t="s">
        <v>523</v>
      </c>
      <c r="F158" s="21" t="s">
        <v>320</v>
      </c>
      <c r="G158" s="22" t="s">
        <v>320</v>
      </c>
      <c r="H158" s="20" t="s">
        <v>320</v>
      </c>
      <c r="I158" s="21" t="str" cm="1">
        <f t="array" ref="I158">_xlfn.IFS(NOT(OR($H158=12, $H158=24)), "-", $H158=12, (DATE(YEAR($F158)+1, MONTH($F158), DAY($F158))), $H158=24, (DATE(YEAR($F158)+2, MONTH($F158), DAY($F158))))</f>
        <v>-</v>
      </c>
      <c r="J158" s="20" t="s">
        <v>529</v>
      </c>
      <c r="K158" s="20">
        <v>2021</v>
      </c>
      <c r="L158" s="20" t="s">
        <v>562</v>
      </c>
      <c r="M158" s="20">
        <v>107005</v>
      </c>
      <c r="N158" s="20"/>
      <c r="O158" s="24" t="s">
        <v>743</v>
      </c>
      <c r="P158" s="24" t="s">
        <v>768</v>
      </c>
      <c r="Q158" s="24" t="s">
        <v>746</v>
      </c>
    </row>
    <row r="159" spans="1:17" ht="20.25" customHeight="1" x14ac:dyDescent="0.4">
      <c r="A159" s="54" t="s">
        <v>437</v>
      </c>
      <c r="B159" s="20">
        <v>209615</v>
      </c>
      <c r="C159" s="20" t="s">
        <v>506</v>
      </c>
      <c r="D159" s="20" t="s">
        <v>787</v>
      </c>
      <c r="E159" s="20" t="s">
        <v>217</v>
      </c>
      <c r="F159" s="21">
        <v>45497</v>
      </c>
      <c r="G159" s="22" t="s">
        <v>1</v>
      </c>
      <c r="H159" s="20">
        <v>12</v>
      </c>
      <c r="I159" s="21" cm="1">
        <f t="array" ref="I159">_xlfn.IFS(NOT(OR($H159=12, $H159=24)), "-", $H159=12, (DATE(YEAR($F159)+1, MONTH($F159), DAY($F159))), $H159=24, (DATE(YEAR($F159)+2, MONTH($F159), DAY($F159))))</f>
        <v>45862</v>
      </c>
      <c r="J159" s="20" t="s">
        <v>10</v>
      </c>
      <c r="K159" s="20">
        <v>2021</v>
      </c>
      <c r="L159" s="20" t="s">
        <v>11</v>
      </c>
      <c r="M159" s="20" t="s">
        <v>684</v>
      </c>
      <c r="N159" s="20"/>
      <c r="O159" s="24" t="s">
        <v>743</v>
      </c>
      <c r="P159" s="24" t="s">
        <v>768</v>
      </c>
      <c r="Q159" s="24" t="s">
        <v>746</v>
      </c>
    </row>
    <row r="160" spans="1:17" ht="20.25" customHeight="1" x14ac:dyDescent="0.4">
      <c r="A160" s="54" t="s">
        <v>305</v>
      </c>
      <c r="B160" s="20">
        <v>209612</v>
      </c>
      <c r="C160" s="20" t="s">
        <v>32</v>
      </c>
      <c r="D160" s="20" t="s">
        <v>787</v>
      </c>
      <c r="E160" s="20" t="s">
        <v>217</v>
      </c>
      <c r="F160" s="21">
        <v>45496</v>
      </c>
      <c r="G160" s="22" t="s">
        <v>1</v>
      </c>
      <c r="H160" s="20">
        <v>12</v>
      </c>
      <c r="I160" s="21" cm="1">
        <f t="array" ref="I160">_xlfn.IFS(NOT(OR($H160=12, $H160=24)), "-", $H160=12, (DATE(YEAR($F160)+1, MONTH($F160), DAY($F160))), $H160=24, (DATE(YEAR($F160)+2, MONTH($F160), DAY($F160))))</f>
        <v>45861</v>
      </c>
      <c r="J160" s="20" t="s">
        <v>529</v>
      </c>
      <c r="K160" s="20">
        <v>2021</v>
      </c>
      <c r="L160" s="20" t="s">
        <v>608</v>
      </c>
      <c r="M160" s="20" t="s">
        <v>685</v>
      </c>
      <c r="N160" s="20"/>
      <c r="O160" s="24" t="s">
        <v>742</v>
      </c>
      <c r="P160" s="24" t="s">
        <v>744</v>
      </c>
      <c r="Q160" s="24" t="s">
        <v>746</v>
      </c>
    </row>
    <row r="161" spans="1:17" ht="20.25" customHeight="1" x14ac:dyDescent="0.4">
      <c r="A161" s="54" t="s">
        <v>306</v>
      </c>
      <c r="B161" s="20">
        <v>209610</v>
      </c>
      <c r="C161" s="20" t="s">
        <v>32</v>
      </c>
      <c r="D161" s="20" t="s">
        <v>787</v>
      </c>
      <c r="E161" s="20" t="s">
        <v>217</v>
      </c>
      <c r="F161" s="21">
        <v>45496</v>
      </c>
      <c r="G161" s="22" t="s">
        <v>1</v>
      </c>
      <c r="H161" s="20">
        <v>12</v>
      </c>
      <c r="I161" s="21" cm="1">
        <f t="array" ref="I161">_xlfn.IFS(NOT(OR($H161=12, $H161=24)), "-", $H161=12, (DATE(YEAR($F161)+1, MONTH($F161), DAY($F161))), $H161=24, (DATE(YEAR($F161)+2, MONTH($F161), DAY($F161))))</f>
        <v>45861</v>
      </c>
      <c r="J161" s="20" t="s">
        <v>529</v>
      </c>
      <c r="K161" s="20">
        <v>2021</v>
      </c>
      <c r="L161" s="20" t="s">
        <v>608</v>
      </c>
      <c r="M161" s="20" t="s">
        <v>686</v>
      </c>
      <c r="N161" s="20"/>
      <c r="O161" s="24" t="s">
        <v>742</v>
      </c>
      <c r="P161" s="24" t="s">
        <v>744</v>
      </c>
      <c r="Q161" s="24" t="s">
        <v>746</v>
      </c>
    </row>
    <row r="162" spans="1:17" ht="20.25" customHeight="1" x14ac:dyDescent="0.4">
      <c r="A162" s="54" t="s">
        <v>307</v>
      </c>
      <c r="B162" s="20">
        <v>209608</v>
      </c>
      <c r="C162" s="20" t="s">
        <v>32</v>
      </c>
      <c r="D162" s="20" t="s">
        <v>787</v>
      </c>
      <c r="E162" s="20" t="s">
        <v>217</v>
      </c>
      <c r="F162" s="21">
        <v>45496</v>
      </c>
      <c r="G162" s="22" t="s">
        <v>1</v>
      </c>
      <c r="H162" s="20">
        <v>12</v>
      </c>
      <c r="I162" s="21" cm="1">
        <f t="array" ref="I162">_xlfn.IFS(NOT(OR($H162=12, $H162=24)), "-", $H162=12, (DATE(YEAR($F162)+1, MONTH($F162), DAY($F162))), $H162=24, (DATE(YEAR($F162)+2, MONTH($F162), DAY($F162))))</f>
        <v>45861</v>
      </c>
      <c r="J162" s="20" t="s">
        <v>529</v>
      </c>
      <c r="K162" s="20">
        <v>2021</v>
      </c>
      <c r="L162" s="20" t="s">
        <v>609</v>
      </c>
      <c r="M162" s="20" t="s">
        <v>687</v>
      </c>
      <c r="N162" s="20"/>
      <c r="O162" s="24" t="s">
        <v>742</v>
      </c>
      <c r="P162" s="24" t="s">
        <v>744</v>
      </c>
      <c r="Q162" s="24" t="s">
        <v>746</v>
      </c>
    </row>
    <row r="163" spans="1:17" ht="20.25" customHeight="1" x14ac:dyDescent="0.4">
      <c r="A163" s="54" t="s">
        <v>308</v>
      </c>
      <c r="B163" s="24">
        <v>209607</v>
      </c>
      <c r="C163" s="24" t="s">
        <v>32</v>
      </c>
      <c r="D163" s="20" t="s">
        <v>787</v>
      </c>
      <c r="E163" s="39" t="s">
        <v>217</v>
      </c>
      <c r="F163" s="21">
        <v>45497</v>
      </c>
      <c r="G163" s="41" t="s">
        <v>1</v>
      </c>
      <c r="H163" s="42">
        <v>12</v>
      </c>
      <c r="I163" s="21" cm="1">
        <f t="array" ref="I163">_xlfn.IFS(NOT(OR($H163=12, $H163=24)), "-", $H163=12, (DATE(YEAR($F163)+1, MONTH($F163), DAY($F163))), $H163=24, (DATE(YEAR($F163)+2, MONTH($F163), DAY($F163))))</f>
        <v>45862</v>
      </c>
      <c r="J163" s="41" t="s">
        <v>529</v>
      </c>
      <c r="K163" s="20">
        <v>2021</v>
      </c>
      <c r="L163" s="24" t="s">
        <v>609</v>
      </c>
      <c r="M163" s="35" t="s">
        <v>688</v>
      </c>
      <c r="N163" s="24"/>
      <c r="O163" s="24" t="s">
        <v>742</v>
      </c>
      <c r="P163" s="24" t="s">
        <v>744</v>
      </c>
      <c r="Q163" s="24" t="s">
        <v>746</v>
      </c>
    </row>
    <row r="164" spans="1:17" ht="20.25" customHeight="1" x14ac:dyDescent="0.4">
      <c r="A164" s="54" t="s">
        <v>309</v>
      </c>
      <c r="B164" s="20">
        <v>209604</v>
      </c>
      <c r="C164" s="24" t="s">
        <v>32</v>
      </c>
      <c r="D164" s="20" t="s">
        <v>787</v>
      </c>
      <c r="E164" s="39" t="s">
        <v>217</v>
      </c>
      <c r="F164" s="21">
        <v>45497</v>
      </c>
      <c r="G164" s="41" t="s">
        <v>1</v>
      </c>
      <c r="H164" s="42">
        <v>12</v>
      </c>
      <c r="I164" s="21" cm="1">
        <f t="array" ref="I164">_xlfn.IFS(NOT(OR($H164=12, $H164=24)), "-", $H164=12, (DATE(YEAR($F164)+1, MONTH($F164), DAY($F164))), $H164=24, (DATE(YEAR($F164)+2, MONTH($F164), DAY($F164))))</f>
        <v>45862</v>
      </c>
      <c r="J164" s="41" t="s">
        <v>529</v>
      </c>
      <c r="K164" s="20">
        <v>2021</v>
      </c>
      <c r="L164" s="24" t="s">
        <v>610</v>
      </c>
      <c r="M164" s="35" t="s">
        <v>689</v>
      </c>
      <c r="N164" s="24"/>
      <c r="O164" s="24" t="s">
        <v>742</v>
      </c>
      <c r="P164" s="24" t="s">
        <v>744</v>
      </c>
      <c r="Q164" s="24" t="s">
        <v>746</v>
      </c>
    </row>
    <row r="165" spans="1:17" ht="20.25" customHeight="1" x14ac:dyDescent="0.4">
      <c r="A165" s="54" t="s">
        <v>310</v>
      </c>
      <c r="B165" s="20">
        <v>209603</v>
      </c>
      <c r="C165" s="24" t="s">
        <v>32</v>
      </c>
      <c r="D165" s="20" t="s">
        <v>787</v>
      </c>
      <c r="E165" s="39" t="s">
        <v>217</v>
      </c>
      <c r="F165" s="21">
        <v>45496</v>
      </c>
      <c r="G165" s="41" t="s">
        <v>1</v>
      </c>
      <c r="H165" s="42">
        <v>12</v>
      </c>
      <c r="I165" s="21" cm="1">
        <f t="array" ref="I165">_xlfn.IFS(NOT(OR($H165=12, $H165=24)), "-", $H165=12, (DATE(YEAR($F165)+1, MONTH($F165), DAY($F165))), $H165=24, (DATE(YEAR($F165)+2, MONTH($F165), DAY($F165))))</f>
        <v>45861</v>
      </c>
      <c r="J165" s="41" t="s">
        <v>529</v>
      </c>
      <c r="K165" s="20">
        <v>2021</v>
      </c>
      <c r="L165" s="24" t="s">
        <v>610</v>
      </c>
      <c r="M165" s="35" t="s">
        <v>690</v>
      </c>
      <c r="N165" s="24"/>
      <c r="O165" s="24" t="s">
        <v>742</v>
      </c>
      <c r="P165" s="24" t="s">
        <v>744</v>
      </c>
      <c r="Q165" s="24" t="s">
        <v>746</v>
      </c>
    </row>
    <row r="166" spans="1:17" ht="20.25" customHeight="1" x14ac:dyDescent="0.4">
      <c r="A166" s="54" t="s">
        <v>438</v>
      </c>
      <c r="B166" s="20">
        <v>212658</v>
      </c>
      <c r="C166" s="24" t="s">
        <v>295</v>
      </c>
      <c r="D166" s="20" t="s">
        <v>787</v>
      </c>
      <c r="E166" s="20" t="s">
        <v>217</v>
      </c>
      <c r="F166" s="21">
        <v>45189</v>
      </c>
      <c r="G166" s="41" t="s">
        <v>12</v>
      </c>
      <c r="H166" s="20">
        <v>12</v>
      </c>
      <c r="I166" s="21" cm="1">
        <f t="array" ref="I166">_xlfn.IFS(NOT(OR($H166=12, $H166=24)), "-", $H166=12, (DATE(YEAR($F166)+1, MONTH($F166), DAY($F166))), $H166=24, (DATE(YEAR($F166)+2, MONTH($F166), DAY($F166))))</f>
        <v>45555</v>
      </c>
      <c r="J166" s="41" t="s">
        <v>12</v>
      </c>
      <c r="K166" s="20">
        <v>2021</v>
      </c>
      <c r="L166" s="20" t="s">
        <v>611</v>
      </c>
      <c r="M166" s="20">
        <v>1158</v>
      </c>
      <c r="N166" s="20"/>
      <c r="O166" s="24" t="s">
        <v>743</v>
      </c>
      <c r="P166" s="24" t="s">
        <v>744</v>
      </c>
      <c r="Q166" s="24" t="s">
        <v>746</v>
      </c>
    </row>
    <row r="167" spans="1:17" ht="20.25" customHeight="1" x14ac:dyDescent="0.4">
      <c r="A167" s="54" t="s">
        <v>439</v>
      </c>
      <c r="B167" s="20">
        <v>212693</v>
      </c>
      <c r="C167" s="24" t="s">
        <v>513</v>
      </c>
      <c r="D167" s="20" t="s">
        <v>787</v>
      </c>
      <c r="E167" s="20" t="s">
        <v>217</v>
      </c>
      <c r="F167" s="21">
        <v>45189</v>
      </c>
      <c r="G167" s="41" t="s">
        <v>12</v>
      </c>
      <c r="H167" s="20">
        <v>12</v>
      </c>
      <c r="I167" s="21" cm="1">
        <f t="array" ref="I167">_xlfn.IFS(NOT(OR($H167=12, $H167=24)), "-", $H167=12, (DATE(YEAR($F167)+1, MONTH($F167), DAY($F167))), $H167=24, (DATE(YEAR($F167)+2, MONTH($F167), DAY($F167))))</f>
        <v>45555</v>
      </c>
      <c r="J167" s="41" t="s">
        <v>12</v>
      </c>
      <c r="K167" s="20">
        <v>2021</v>
      </c>
      <c r="L167" s="20" t="s">
        <v>612</v>
      </c>
      <c r="M167" s="20">
        <v>1013</v>
      </c>
      <c r="N167" s="20"/>
      <c r="O167" s="24" t="s">
        <v>743</v>
      </c>
      <c r="P167" s="24" t="s">
        <v>744</v>
      </c>
      <c r="Q167" s="24" t="s">
        <v>746</v>
      </c>
    </row>
    <row r="168" spans="1:17" ht="20.25" customHeight="1" x14ac:dyDescent="0.4">
      <c r="A168" s="54" t="s">
        <v>440</v>
      </c>
      <c r="B168" s="20">
        <v>212694</v>
      </c>
      <c r="C168" s="24" t="s">
        <v>513</v>
      </c>
      <c r="D168" s="20" t="s">
        <v>787</v>
      </c>
      <c r="E168" s="20" t="s">
        <v>217</v>
      </c>
      <c r="F168" s="21">
        <v>45526</v>
      </c>
      <c r="G168" s="41" t="s">
        <v>12</v>
      </c>
      <c r="H168" s="20">
        <v>12</v>
      </c>
      <c r="I168" s="21" cm="1">
        <f t="array" ref="I168">_xlfn.IFS(NOT(OR($H168=12, $H168=24)), "-", $H168=12, (DATE(YEAR($F168)+1, MONTH($F168), DAY($F168))), $H168=24, (DATE(YEAR($F168)+2, MONTH($F168), DAY($F168))))</f>
        <v>45891</v>
      </c>
      <c r="J168" s="41" t="s">
        <v>12</v>
      </c>
      <c r="K168" s="20">
        <v>2021</v>
      </c>
      <c r="L168" s="43" t="s">
        <v>613</v>
      </c>
      <c r="M168" s="43">
        <v>1015</v>
      </c>
      <c r="N168" s="24"/>
      <c r="O168" s="24" t="s">
        <v>743</v>
      </c>
      <c r="P168" s="24" t="s">
        <v>744</v>
      </c>
      <c r="Q168" s="24" t="s">
        <v>746</v>
      </c>
    </row>
    <row r="169" spans="1:17" ht="20.25" customHeight="1" x14ac:dyDescent="0.4">
      <c r="A169" s="54" t="s">
        <v>441</v>
      </c>
      <c r="B169" s="20">
        <v>213407</v>
      </c>
      <c r="C169" s="24" t="s">
        <v>311</v>
      </c>
      <c r="D169" s="20" t="s">
        <v>787</v>
      </c>
      <c r="E169" s="20" t="s">
        <v>217</v>
      </c>
      <c r="F169" s="21">
        <v>45294</v>
      </c>
      <c r="G169" s="41" t="s">
        <v>1</v>
      </c>
      <c r="H169" s="20">
        <v>12</v>
      </c>
      <c r="I169" s="21" cm="1">
        <f t="array" ref="I169">_xlfn.IFS(NOT(OR($H169=12, $H169=24)), "-", $H169=12, (DATE(YEAR($F169)+1, MONTH($F169), DAY($F169))), $H169=24, (DATE(YEAR($F169)+2, MONTH($F169), DAY($F169))))</f>
        <v>45660</v>
      </c>
      <c r="J169" s="20" t="s">
        <v>529</v>
      </c>
      <c r="K169" s="20">
        <v>2021</v>
      </c>
      <c r="L169" s="20" t="s">
        <v>614</v>
      </c>
      <c r="M169" s="20" t="s">
        <v>691</v>
      </c>
      <c r="N169" s="20"/>
      <c r="O169" s="24" t="s">
        <v>743</v>
      </c>
      <c r="P169" s="24" t="s">
        <v>744</v>
      </c>
      <c r="Q169" s="24" t="s">
        <v>746</v>
      </c>
    </row>
    <row r="170" spans="1:17" ht="20.25" customHeight="1" x14ac:dyDescent="0.4">
      <c r="A170" s="54" t="s">
        <v>442</v>
      </c>
      <c r="B170" s="20">
        <v>213408</v>
      </c>
      <c r="C170" s="24" t="s">
        <v>311</v>
      </c>
      <c r="D170" s="20" t="s">
        <v>787</v>
      </c>
      <c r="E170" s="20" t="s">
        <v>217</v>
      </c>
      <c r="F170" s="21">
        <v>45294</v>
      </c>
      <c r="G170" s="41" t="s">
        <v>1</v>
      </c>
      <c r="H170" s="20">
        <v>12</v>
      </c>
      <c r="I170" s="21" cm="1">
        <f t="array" ref="I170">_xlfn.IFS(NOT(OR($H170=12, $H170=24)), "-", $H170=12, (DATE(YEAR($F170)+1, MONTH($F170), DAY($F170))), $H170=24, (DATE(YEAR($F170)+2, MONTH($F170), DAY($F170))))</f>
        <v>45660</v>
      </c>
      <c r="J170" s="20" t="s">
        <v>529</v>
      </c>
      <c r="K170" s="20">
        <v>2021</v>
      </c>
      <c r="L170" s="20" t="s">
        <v>614</v>
      </c>
      <c r="M170" s="20" t="s">
        <v>647</v>
      </c>
      <c r="N170" s="20"/>
      <c r="O170" s="24" t="s">
        <v>743</v>
      </c>
      <c r="P170" s="24" t="s">
        <v>744</v>
      </c>
      <c r="Q170" s="24" t="s">
        <v>746</v>
      </c>
    </row>
    <row r="171" spans="1:17" ht="20.25" customHeight="1" x14ac:dyDescent="0.4">
      <c r="A171" s="54" t="s">
        <v>443</v>
      </c>
      <c r="B171" s="20">
        <v>213409</v>
      </c>
      <c r="C171" s="24" t="s">
        <v>4</v>
      </c>
      <c r="D171" s="20" t="s">
        <v>787</v>
      </c>
      <c r="E171" s="20" t="s">
        <v>217</v>
      </c>
      <c r="F171" s="21">
        <v>45497</v>
      </c>
      <c r="G171" s="41" t="s">
        <v>1</v>
      </c>
      <c r="H171" s="20">
        <v>12</v>
      </c>
      <c r="I171" s="21" cm="1">
        <f t="array" ref="I171">_xlfn.IFS(NOT(OR($H171=12, $H171=24)), "-", $H171=12, (DATE(YEAR($F171)+1, MONTH($F171), DAY($F171))), $H171=24, (DATE(YEAR($F171)+2, MONTH($F171), DAY($F171))))</f>
        <v>45862</v>
      </c>
      <c r="J171" s="20" t="s">
        <v>527</v>
      </c>
      <c r="K171" s="20">
        <v>2021</v>
      </c>
      <c r="L171" s="20" t="s">
        <v>615</v>
      </c>
      <c r="M171" s="20" t="s">
        <v>692</v>
      </c>
      <c r="N171" s="20"/>
      <c r="O171" s="24" t="s">
        <v>743</v>
      </c>
      <c r="P171" s="24" t="s">
        <v>744</v>
      </c>
      <c r="Q171" s="24" t="s">
        <v>746</v>
      </c>
    </row>
    <row r="172" spans="1:17" ht="20.25" customHeight="1" x14ac:dyDescent="0.4">
      <c r="A172" s="54" t="s">
        <v>444</v>
      </c>
      <c r="B172" s="20">
        <v>213410</v>
      </c>
      <c r="C172" s="24" t="s">
        <v>312</v>
      </c>
      <c r="D172" s="20" t="s">
        <v>787</v>
      </c>
      <c r="E172" s="20" t="s">
        <v>217</v>
      </c>
      <c r="F172" s="21">
        <v>45294</v>
      </c>
      <c r="G172" s="41" t="s">
        <v>1</v>
      </c>
      <c r="H172" s="20">
        <v>12</v>
      </c>
      <c r="I172" s="21" cm="1">
        <f t="array" ref="I172">_xlfn.IFS(NOT(OR($H172=12, $H172=24)), "-", $H172=12, (DATE(YEAR($F172)+1, MONTH($F172), DAY($F172))), $H172=24, (DATE(YEAR($F172)+2, MONTH($F172), DAY($F172))))</f>
        <v>45660</v>
      </c>
      <c r="J172" s="20" t="s">
        <v>529</v>
      </c>
      <c r="K172" s="20">
        <v>2021</v>
      </c>
      <c r="L172" s="20" t="s">
        <v>563</v>
      </c>
      <c r="M172" s="20" t="s">
        <v>693</v>
      </c>
      <c r="N172" s="20"/>
      <c r="O172" s="24" t="s">
        <v>743</v>
      </c>
      <c r="P172" s="24" t="s">
        <v>768</v>
      </c>
      <c r="Q172" s="24" t="s">
        <v>746</v>
      </c>
    </row>
    <row r="173" spans="1:17" ht="20.25" customHeight="1" x14ac:dyDescent="0.4">
      <c r="A173" s="54" t="s">
        <v>445</v>
      </c>
      <c r="B173" s="20">
        <v>213411</v>
      </c>
      <c r="C173" s="20" t="s">
        <v>312</v>
      </c>
      <c r="D173" s="20" t="s">
        <v>787</v>
      </c>
      <c r="E173" s="20" t="s">
        <v>217</v>
      </c>
      <c r="F173" s="21">
        <v>45294</v>
      </c>
      <c r="G173" s="22" t="s">
        <v>1</v>
      </c>
      <c r="H173" s="20"/>
      <c r="I173" s="21" t="str" cm="1">
        <f t="array" ref="I173">_xlfn.IFS(NOT(OR($H173=12, $H173=24)), "-", $H173=12, (DATE(YEAR($F173)+1, MONTH($F173), DAY($F173))), $H173=24, (DATE(YEAR($F173)+2, MONTH($F173), DAY($F173))))</f>
        <v>-</v>
      </c>
      <c r="J173" s="20" t="s">
        <v>529</v>
      </c>
      <c r="K173" s="20">
        <v>2021</v>
      </c>
      <c r="L173" s="20" t="s">
        <v>563</v>
      </c>
      <c r="M173" s="20" t="s">
        <v>694</v>
      </c>
      <c r="N173" s="23"/>
      <c r="O173" s="24" t="s">
        <v>743</v>
      </c>
      <c r="P173" s="24" t="s">
        <v>768</v>
      </c>
      <c r="Q173" s="24" t="s">
        <v>746</v>
      </c>
    </row>
    <row r="174" spans="1:17" ht="20.25" customHeight="1" x14ac:dyDescent="0.4">
      <c r="A174" s="54" t="s">
        <v>446</v>
      </c>
      <c r="B174" s="20">
        <v>213864</v>
      </c>
      <c r="C174" s="25" t="s">
        <v>96</v>
      </c>
      <c r="D174" s="20" t="s">
        <v>787</v>
      </c>
      <c r="E174" s="25" t="s">
        <v>217</v>
      </c>
      <c r="F174" s="21">
        <v>45294</v>
      </c>
      <c r="G174" s="26" t="s">
        <v>1</v>
      </c>
      <c r="H174" s="25">
        <v>12</v>
      </c>
      <c r="I174" s="21" cm="1">
        <f t="array" ref="I174">_xlfn.IFS(NOT(OR($H174=12, $H174=24)), "-", $H174=12, (DATE(YEAR($F174)+1, MONTH($F174), DAY($F174))), $H174=24, (DATE(YEAR($F174)+2, MONTH($F174), DAY($F174))))</f>
        <v>45660</v>
      </c>
      <c r="J174" s="25" t="s">
        <v>527</v>
      </c>
      <c r="K174" s="20">
        <v>2021</v>
      </c>
      <c r="L174" s="25" t="s">
        <v>616</v>
      </c>
      <c r="M174" s="25">
        <v>2111006</v>
      </c>
      <c r="N174" s="27" t="s">
        <v>730</v>
      </c>
      <c r="O174" s="28" t="s">
        <v>743</v>
      </c>
      <c r="P174" s="28" t="s">
        <v>744</v>
      </c>
      <c r="Q174" s="24" t="s">
        <v>746</v>
      </c>
    </row>
    <row r="175" spans="1:17" ht="20.25" customHeight="1" x14ac:dyDescent="0.4">
      <c r="A175" s="54" t="s">
        <v>447</v>
      </c>
      <c r="B175" s="20">
        <v>213865</v>
      </c>
      <c r="C175" s="20" t="s">
        <v>59</v>
      </c>
      <c r="D175" s="20" t="s">
        <v>787</v>
      </c>
      <c r="E175" s="20" t="s">
        <v>217</v>
      </c>
      <c r="F175" s="21">
        <v>45295</v>
      </c>
      <c r="G175" s="22" t="s">
        <v>1</v>
      </c>
      <c r="H175" s="20">
        <v>12</v>
      </c>
      <c r="I175" s="21" cm="1">
        <f t="array" ref="I175">_xlfn.IFS(NOT(OR($H175=12, $H175=24)), "-", $H175=12, (DATE(YEAR($F175)+1, MONTH($F175), DAY($F175))), $H175=24, (DATE(YEAR($F175)+2, MONTH($F175), DAY($F175))))</f>
        <v>45661</v>
      </c>
      <c r="J175" s="20" t="s">
        <v>527</v>
      </c>
      <c r="K175" s="20">
        <v>2021</v>
      </c>
      <c r="L175" s="20" t="s">
        <v>617</v>
      </c>
      <c r="M175" s="20" t="s">
        <v>674</v>
      </c>
      <c r="N175" s="20"/>
      <c r="O175" s="24" t="s">
        <v>743</v>
      </c>
      <c r="P175" s="24" t="s">
        <v>744</v>
      </c>
      <c r="Q175" s="24" t="s">
        <v>746</v>
      </c>
    </row>
    <row r="176" spans="1:17" ht="20.25" customHeight="1" x14ac:dyDescent="0.4">
      <c r="A176" s="54" t="s">
        <v>448</v>
      </c>
      <c r="B176" s="20">
        <v>213867</v>
      </c>
      <c r="C176" s="20" t="s">
        <v>59</v>
      </c>
      <c r="D176" s="20" t="s">
        <v>787</v>
      </c>
      <c r="E176" s="20" t="s">
        <v>217</v>
      </c>
      <c r="F176" s="21">
        <v>45295</v>
      </c>
      <c r="G176" s="22" t="s">
        <v>1</v>
      </c>
      <c r="H176" s="20">
        <v>12</v>
      </c>
      <c r="I176" s="21" cm="1">
        <f t="array" ref="I176">_xlfn.IFS(NOT(OR($H176=12, $H176=24)), "-", $H176=12, (DATE(YEAR($F176)+1, MONTH($F176), DAY($F176))), $H176=24, (DATE(YEAR($F176)+2, MONTH($F176), DAY($F176))))</f>
        <v>45661</v>
      </c>
      <c r="J176" s="20" t="s">
        <v>527</v>
      </c>
      <c r="K176" s="20">
        <v>2021</v>
      </c>
      <c r="L176" s="20" t="s">
        <v>617</v>
      </c>
      <c r="M176" s="20" t="s">
        <v>674</v>
      </c>
      <c r="N176" s="20"/>
      <c r="O176" s="24" t="s">
        <v>743</v>
      </c>
      <c r="P176" s="24" t="s">
        <v>744</v>
      </c>
      <c r="Q176" s="24" t="s">
        <v>746</v>
      </c>
    </row>
    <row r="177" spans="1:17" ht="20.25" customHeight="1" x14ac:dyDescent="0.4">
      <c r="A177" s="54" t="s">
        <v>449</v>
      </c>
      <c r="B177" s="20">
        <v>215371</v>
      </c>
      <c r="C177" s="20" t="s">
        <v>514</v>
      </c>
      <c r="D177" s="20" t="s">
        <v>787</v>
      </c>
      <c r="E177" s="20" t="s">
        <v>217</v>
      </c>
      <c r="F177" s="21">
        <v>45294</v>
      </c>
      <c r="G177" s="22" t="s">
        <v>1</v>
      </c>
      <c r="H177" s="20">
        <v>12</v>
      </c>
      <c r="I177" s="21" cm="1">
        <f t="array" ref="I177">_xlfn.IFS(NOT(OR($H177=12, $H177=24)), "-", $H177=12, (DATE(YEAR($F177)+1, MONTH($F177), DAY($F177))), $H177=24, (DATE(YEAR($F177)+2, MONTH($F177), DAY($F177))))</f>
        <v>45660</v>
      </c>
      <c r="J177" s="20" t="s">
        <v>529</v>
      </c>
      <c r="K177" s="20">
        <v>2021</v>
      </c>
      <c r="L177" s="20" t="s">
        <v>618</v>
      </c>
      <c r="M177" s="20" t="s">
        <v>695</v>
      </c>
      <c r="N177" s="20" t="s">
        <v>731</v>
      </c>
      <c r="O177" s="24" t="s">
        <v>743</v>
      </c>
      <c r="P177" s="24" t="s">
        <v>768</v>
      </c>
      <c r="Q177" s="24" t="s">
        <v>746</v>
      </c>
    </row>
    <row r="178" spans="1:17" ht="20.25" customHeight="1" x14ac:dyDescent="0.4">
      <c r="A178" s="54" t="s">
        <v>450</v>
      </c>
      <c r="B178" s="20">
        <v>216813</v>
      </c>
      <c r="C178" s="30" t="s">
        <v>32</v>
      </c>
      <c r="D178" s="20" t="s">
        <v>787</v>
      </c>
      <c r="E178" s="30" t="s">
        <v>217</v>
      </c>
      <c r="F178" s="21">
        <v>45295</v>
      </c>
      <c r="G178" s="31" t="s">
        <v>1</v>
      </c>
      <c r="H178" s="30">
        <v>12</v>
      </c>
      <c r="I178" s="21" cm="1">
        <f t="array" ref="I178">_xlfn.IFS(NOT(OR($H178=12, $H178=24)), "-", $H178=12, (DATE(YEAR($F178)+1, MONTH($F178), DAY($F178))), $H178=24, (DATE(YEAR($F178)+2, MONTH($F178), DAY($F178))))</f>
        <v>45661</v>
      </c>
      <c r="J178" s="30" t="s">
        <v>527</v>
      </c>
      <c r="K178" s="20">
        <v>2021</v>
      </c>
      <c r="L178" s="30" t="s">
        <v>619</v>
      </c>
      <c r="M178" s="30" t="s">
        <v>186</v>
      </c>
      <c r="N178" s="30" t="s">
        <v>732</v>
      </c>
      <c r="O178" s="24" t="s">
        <v>743</v>
      </c>
      <c r="P178" s="24" t="s">
        <v>744</v>
      </c>
      <c r="Q178" s="24" t="s">
        <v>746</v>
      </c>
    </row>
    <row r="179" spans="1:17" ht="20.25" customHeight="1" x14ac:dyDescent="0.4">
      <c r="A179" s="54" t="s">
        <v>451</v>
      </c>
      <c r="B179" s="20">
        <v>216814</v>
      </c>
      <c r="C179" s="30" t="s">
        <v>32</v>
      </c>
      <c r="D179" s="20" t="s">
        <v>787</v>
      </c>
      <c r="E179" s="30" t="s">
        <v>217</v>
      </c>
      <c r="F179" s="21">
        <v>45295</v>
      </c>
      <c r="G179" s="31" t="s">
        <v>1</v>
      </c>
      <c r="H179" s="30">
        <v>12</v>
      </c>
      <c r="I179" s="21" cm="1">
        <f t="array" ref="I179">_xlfn.IFS(NOT(OR($H179=12, $H179=24)), "-", $H179=12, (DATE(YEAR($F179)+1, MONTH($F179), DAY($F179))), $H179=24, (DATE(YEAR($F179)+2, MONTH($F179), DAY($F179))))</f>
        <v>45661</v>
      </c>
      <c r="J179" s="30" t="s">
        <v>527</v>
      </c>
      <c r="K179" s="20">
        <v>2021</v>
      </c>
      <c r="L179" s="30" t="s">
        <v>619</v>
      </c>
      <c r="M179" s="30" t="s">
        <v>186</v>
      </c>
      <c r="N179" s="32" t="s">
        <v>732</v>
      </c>
      <c r="O179" s="24" t="s">
        <v>743</v>
      </c>
      <c r="P179" s="24" t="s">
        <v>744</v>
      </c>
      <c r="Q179" s="24" t="s">
        <v>746</v>
      </c>
    </row>
    <row r="180" spans="1:17" ht="20.25" customHeight="1" x14ac:dyDescent="0.4">
      <c r="A180" s="54" t="s">
        <v>452</v>
      </c>
      <c r="B180" s="20">
        <v>216815</v>
      </c>
      <c r="C180" s="33" t="s">
        <v>32</v>
      </c>
      <c r="D180" s="20" t="s">
        <v>787</v>
      </c>
      <c r="E180" s="33" t="s">
        <v>217</v>
      </c>
      <c r="F180" s="21">
        <v>45295</v>
      </c>
      <c r="G180" s="34" t="s">
        <v>1</v>
      </c>
      <c r="H180" s="33">
        <v>12</v>
      </c>
      <c r="I180" s="21" cm="1">
        <f t="array" ref="I180">_xlfn.IFS(NOT(OR($H180=12, $H180=24)), "-", $H180=12, (DATE(YEAR($F180)+1, MONTH($F180), DAY($F180))), $H180=24, (DATE(YEAR($F180)+2, MONTH($F180), DAY($F180))))</f>
        <v>45661</v>
      </c>
      <c r="J180" s="33" t="s">
        <v>527</v>
      </c>
      <c r="K180" s="20">
        <v>2021</v>
      </c>
      <c r="L180" s="33" t="s">
        <v>619</v>
      </c>
      <c r="M180" s="33" t="s">
        <v>186</v>
      </c>
      <c r="N180" s="35" t="s">
        <v>732</v>
      </c>
      <c r="O180" s="24" t="s">
        <v>743</v>
      </c>
      <c r="P180" s="24" t="s">
        <v>744</v>
      </c>
      <c r="Q180" s="24" t="s">
        <v>746</v>
      </c>
    </row>
    <row r="181" spans="1:17" ht="20.25" customHeight="1" x14ac:dyDescent="0.4">
      <c r="A181" s="54" t="s">
        <v>453</v>
      </c>
      <c r="B181" s="20">
        <v>221236</v>
      </c>
      <c r="C181" s="33" t="s">
        <v>515</v>
      </c>
      <c r="D181" s="20" t="s">
        <v>787</v>
      </c>
      <c r="E181" s="33" t="s">
        <v>217</v>
      </c>
      <c r="F181" s="21">
        <v>45524</v>
      </c>
      <c r="G181" s="34" t="s">
        <v>1</v>
      </c>
      <c r="H181" s="33">
        <v>12</v>
      </c>
      <c r="I181" s="21" cm="1">
        <f t="array" ref="I181">_xlfn.IFS(NOT(OR($H181=12, $H181=24)), "-", $H181=12, (DATE(YEAR($F181)+1, MONTH($F181), DAY($F181))), $H181=24, (DATE(YEAR($F181)+2, MONTH($F181), DAY($F181))))</f>
        <v>45889</v>
      </c>
      <c r="J181" s="36" t="s">
        <v>525</v>
      </c>
      <c r="K181" s="20">
        <v>2022</v>
      </c>
      <c r="L181" s="33" t="s">
        <v>620</v>
      </c>
      <c r="M181" s="33">
        <v>6272466165</v>
      </c>
      <c r="N181" s="35"/>
      <c r="O181" s="24" t="s">
        <v>743</v>
      </c>
      <c r="P181" s="24" t="s">
        <v>768</v>
      </c>
      <c r="Q181" s="24" t="s">
        <v>746</v>
      </c>
    </row>
    <row r="182" spans="1:17" ht="20.25" customHeight="1" x14ac:dyDescent="0.4">
      <c r="A182" s="54" t="s">
        <v>454</v>
      </c>
      <c r="B182" s="20">
        <v>221237</v>
      </c>
      <c r="C182" s="33" t="s">
        <v>516</v>
      </c>
      <c r="D182" s="20" t="s">
        <v>787</v>
      </c>
      <c r="E182" s="33" t="s">
        <v>217</v>
      </c>
      <c r="F182" s="21">
        <v>45524</v>
      </c>
      <c r="G182" s="34" t="s">
        <v>525</v>
      </c>
      <c r="H182" s="33">
        <v>12</v>
      </c>
      <c r="I182" s="21" cm="1">
        <f t="array" ref="I182">_xlfn.IFS(NOT(OR($H182=12, $H182=24)), "-", $H182=12, (DATE(YEAR($F182)+1, MONTH($F182), DAY($F182))), $H182=24, (DATE(YEAR($F182)+2, MONTH($F182), DAY($F182))))</f>
        <v>45889</v>
      </c>
      <c r="J182" s="36" t="s">
        <v>525</v>
      </c>
      <c r="K182" s="20">
        <v>2022</v>
      </c>
      <c r="L182" s="33" t="s">
        <v>621</v>
      </c>
      <c r="M182" s="33">
        <v>6161094351</v>
      </c>
      <c r="N182" s="35"/>
      <c r="O182" s="24" t="s">
        <v>743</v>
      </c>
      <c r="P182" s="24" t="s">
        <v>768</v>
      </c>
      <c r="Q182" s="24" t="s">
        <v>746</v>
      </c>
    </row>
    <row r="183" spans="1:17" ht="20.25" customHeight="1" x14ac:dyDescent="0.4">
      <c r="A183" s="54" t="s">
        <v>455</v>
      </c>
      <c r="B183" s="20">
        <v>221460</v>
      </c>
      <c r="C183" s="33" t="s">
        <v>497</v>
      </c>
      <c r="D183" s="20" t="s">
        <v>787</v>
      </c>
      <c r="E183" s="33" t="s">
        <v>217</v>
      </c>
      <c r="F183" s="21">
        <v>45294</v>
      </c>
      <c r="G183" s="34" t="s">
        <v>1</v>
      </c>
      <c r="H183" s="33">
        <v>12</v>
      </c>
      <c r="I183" s="21" cm="1">
        <f t="array" ref="I183">_xlfn.IFS(NOT(OR($H183=12, $H183=24)), "-", $H183=12, (DATE(YEAR($F183)+1, MONTH($F183), DAY($F183))), $H183=24, (DATE(YEAR($F183)+2, MONTH($F183), DAY($F183))))</f>
        <v>45660</v>
      </c>
      <c r="J183" s="36" t="s">
        <v>529</v>
      </c>
      <c r="K183" s="20">
        <v>2020</v>
      </c>
      <c r="L183" s="33" t="s">
        <v>564</v>
      </c>
      <c r="M183" s="33" t="s">
        <v>648</v>
      </c>
      <c r="N183" s="35"/>
      <c r="O183" s="24" t="s">
        <v>742</v>
      </c>
      <c r="P183" s="24" t="s">
        <v>768</v>
      </c>
      <c r="Q183" s="24" t="s">
        <v>746</v>
      </c>
    </row>
    <row r="184" spans="1:17" ht="20.25" customHeight="1" x14ac:dyDescent="0.4">
      <c r="A184" s="54" t="s">
        <v>456</v>
      </c>
      <c r="B184" s="20">
        <v>221461</v>
      </c>
      <c r="C184" s="33" t="s">
        <v>498</v>
      </c>
      <c r="D184" s="20" t="s">
        <v>787</v>
      </c>
      <c r="E184" s="33" t="s">
        <v>523</v>
      </c>
      <c r="F184" s="21" t="s">
        <v>320</v>
      </c>
      <c r="G184" s="34" t="s">
        <v>320</v>
      </c>
      <c r="H184" s="33" t="s">
        <v>320</v>
      </c>
      <c r="I184" s="21" t="str" cm="1">
        <f t="array" ref="I184">_xlfn.IFS(NOT(OR($H184=12, $H184=24)), "-", $H184=12, (DATE(YEAR($F184)+1, MONTH($F184), DAY($F184))), $H184=24, (DATE(YEAR($F184)+2, MONTH($F184), DAY($F184))))</f>
        <v>-</v>
      </c>
      <c r="J184" s="36" t="s">
        <v>529</v>
      </c>
      <c r="K184" s="20">
        <v>2020</v>
      </c>
      <c r="L184" s="37" t="s">
        <v>578</v>
      </c>
      <c r="M184" s="33" t="s">
        <v>649</v>
      </c>
      <c r="N184" s="35"/>
      <c r="O184" s="24" t="s">
        <v>742</v>
      </c>
      <c r="P184" s="24" t="s">
        <v>768</v>
      </c>
      <c r="Q184" s="24" t="s">
        <v>746</v>
      </c>
    </row>
    <row r="185" spans="1:17" ht="20.25" customHeight="1" x14ac:dyDescent="0.4">
      <c r="A185" s="54" t="s">
        <v>457</v>
      </c>
      <c r="B185" s="20">
        <v>221462</v>
      </c>
      <c r="C185" s="33" t="s">
        <v>313</v>
      </c>
      <c r="D185" s="20" t="s">
        <v>787</v>
      </c>
      <c r="E185" s="33" t="s">
        <v>217</v>
      </c>
      <c r="F185" s="21">
        <v>45299</v>
      </c>
      <c r="G185" s="34" t="s">
        <v>1</v>
      </c>
      <c r="H185" s="33">
        <v>12</v>
      </c>
      <c r="I185" s="21" cm="1">
        <f t="array" ref="I185">_xlfn.IFS(NOT(OR($H185=12, $H185=24)), "-", $H185=12, (DATE(YEAR($F185)+1, MONTH($F185), DAY($F185))), $H185=24, (DATE(YEAR($F185)+2, MONTH($F185), DAY($F185))))</f>
        <v>45665</v>
      </c>
      <c r="J185" s="33" t="s">
        <v>529</v>
      </c>
      <c r="K185" s="20">
        <v>2020</v>
      </c>
      <c r="L185" s="33" t="s">
        <v>579</v>
      </c>
      <c r="M185" s="33" t="s">
        <v>696</v>
      </c>
      <c r="N185" s="35"/>
      <c r="O185" s="24" t="s">
        <v>742</v>
      </c>
      <c r="P185" s="24" t="s">
        <v>768</v>
      </c>
      <c r="Q185" s="24" t="s">
        <v>746</v>
      </c>
    </row>
    <row r="186" spans="1:17" ht="20.25" customHeight="1" x14ac:dyDescent="0.4">
      <c r="A186" s="54" t="s">
        <v>458</v>
      </c>
      <c r="B186" s="20">
        <v>221463</v>
      </c>
      <c r="C186" s="33" t="s">
        <v>313</v>
      </c>
      <c r="D186" s="20" t="s">
        <v>787</v>
      </c>
      <c r="E186" s="33" t="s">
        <v>217</v>
      </c>
      <c r="F186" s="21">
        <v>45299</v>
      </c>
      <c r="G186" s="34" t="s">
        <v>1</v>
      </c>
      <c r="H186" s="33">
        <v>12</v>
      </c>
      <c r="I186" s="21" cm="1">
        <f t="array" ref="I186">_xlfn.IFS(NOT(OR($H186=12, $H186=24)), "-", $H186=12, (DATE(YEAR($F186)+1, MONTH($F186), DAY($F186))), $H186=24, (DATE(YEAR($F186)+2, MONTH($F186), DAY($F186))))</f>
        <v>45665</v>
      </c>
      <c r="J186" s="33" t="s">
        <v>529</v>
      </c>
      <c r="K186" s="20">
        <v>2020</v>
      </c>
      <c r="L186" s="33" t="s">
        <v>579</v>
      </c>
      <c r="M186" s="33" t="s">
        <v>650</v>
      </c>
      <c r="N186" s="35"/>
      <c r="O186" s="24" t="s">
        <v>742</v>
      </c>
      <c r="P186" s="24" t="s">
        <v>768</v>
      </c>
      <c r="Q186" s="24" t="s">
        <v>746</v>
      </c>
    </row>
    <row r="187" spans="1:17" ht="20.25" customHeight="1" x14ac:dyDescent="0.4">
      <c r="A187" s="54" t="s">
        <v>314</v>
      </c>
      <c r="B187" s="20">
        <v>223499</v>
      </c>
      <c r="C187" s="33" t="s">
        <v>315</v>
      </c>
      <c r="D187" s="20" t="s">
        <v>787</v>
      </c>
      <c r="E187" s="33" t="s">
        <v>217</v>
      </c>
      <c r="F187" s="21">
        <v>45523</v>
      </c>
      <c r="G187" s="34" t="s">
        <v>1</v>
      </c>
      <c r="H187" s="33">
        <v>12</v>
      </c>
      <c r="I187" s="21" cm="1">
        <f t="array" ref="I187">_xlfn.IFS(NOT(OR($H187=12, $H187=24)), "-", $H187=12, (DATE(YEAR($F187)+1, MONTH($F187), DAY($F187))), $H187=24, (DATE(YEAR($F187)+2, MONTH($F187), DAY($F187))))</f>
        <v>45888</v>
      </c>
      <c r="J187" s="33" t="s">
        <v>525</v>
      </c>
      <c r="K187" s="20">
        <v>2022</v>
      </c>
      <c r="L187" s="33" t="s">
        <v>565</v>
      </c>
      <c r="M187" s="33">
        <v>2212002</v>
      </c>
      <c r="N187" s="35"/>
      <c r="O187" s="24" t="s">
        <v>742</v>
      </c>
      <c r="P187" s="24" t="s">
        <v>744</v>
      </c>
      <c r="Q187" s="24" t="s">
        <v>746</v>
      </c>
    </row>
    <row r="188" spans="1:17" ht="20.25" customHeight="1" x14ac:dyDescent="0.4">
      <c r="A188" s="54" t="s">
        <v>459</v>
      </c>
      <c r="B188" s="20">
        <v>223514</v>
      </c>
      <c r="C188" s="33" t="s">
        <v>85</v>
      </c>
      <c r="D188" s="20" t="s">
        <v>787</v>
      </c>
      <c r="E188" s="33" t="s">
        <v>217</v>
      </c>
      <c r="F188" s="21">
        <v>45523</v>
      </c>
      <c r="G188" s="34" t="s">
        <v>1</v>
      </c>
      <c r="H188" s="33">
        <v>12</v>
      </c>
      <c r="I188" s="21" cm="1">
        <f t="array" ref="I188">_xlfn.IFS(NOT(OR($H188=12, $H188=24)), "-", $H188=12, (DATE(YEAR($F188)+1, MONTH($F188), DAY($F188))), $H188=24, (DATE(YEAR($F188)+2, MONTH($F188), DAY($F188))))</f>
        <v>45888</v>
      </c>
      <c r="J188" s="33" t="s">
        <v>525</v>
      </c>
      <c r="K188" s="20">
        <v>2022</v>
      </c>
      <c r="L188" s="33" t="s">
        <v>622</v>
      </c>
      <c r="M188" s="33">
        <v>2014271</v>
      </c>
      <c r="N188" s="35"/>
      <c r="O188" s="24" t="s">
        <v>742</v>
      </c>
      <c r="P188" s="24" t="s">
        <v>744</v>
      </c>
      <c r="Q188" s="24" t="s">
        <v>746</v>
      </c>
    </row>
    <row r="189" spans="1:17" ht="20.25" customHeight="1" x14ac:dyDescent="0.4">
      <c r="A189" s="54" t="s">
        <v>460</v>
      </c>
      <c r="B189" s="20">
        <v>223515</v>
      </c>
      <c r="C189" s="20" t="s">
        <v>517</v>
      </c>
      <c r="D189" s="20" t="s">
        <v>787</v>
      </c>
      <c r="E189" s="20" t="s">
        <v>217</v>
      </c>
      <c r="F189" s="21">
        <v>45523</v>
      </c>
      <c r="G189" s="38" t="s">
        <v>1</v>
      </c>
      <c r="H189" s="20">
        <v>12</v>
      </c>
      <c r="I189" s="21" cm="1">
        <f t="array" ref="I189">_xlfn.IFS(NOT(OR($H189=12, $H189=24)), "-", $H189=12, (DATE(YEAR($F189)+1, MONTH($F189), DAY($F189))), $H189=24, (DATE(YEAR($F189)+2, MONTH($F189), DAY($F189))))</f>
        <v>45888</v>
      </c>
      <c r="J189" s="20" t="s">
        <v>525</v>
      </c>
      <c r="K189" s="20">
        <v>2022</v>
      </c>
      <c r="L189" s="20" t="s">
        <v>622</v>
      </c>
      <c r="M189" s="20">
        <v>2014291</v>
      </c>
      <c r="N189" s="23"/>
      <c r="O189" s="24" t="s">
        <v>742</v>
      </c>
      <c r="P189" s="24" t="s">
        <v>744</v>
      </c>
      <c r="Q189" s="24" t="s">
        <v>746</v>
      </c>
    </row>
    <row r="190" spans="1:17" ht="20.25" customHeight="1" x14ac:dyDescent="0.4">
      <c r="A190" s="54" t="s">
        <v>461</v>
      </c>
      <c r="B190" s="20">
        <v>225278</v>
      </c>
      <c r="C190" s="20" t="s">
        <v>518</v>
      </c>
      <c r="D190" s="20" t="s">
        <v>787</v>
      </c>
      <c r="E190" s="20" t="s">
        <v>217</v>
      </c>
      <c r="F190" s="21">
        <v>45212</v>
      </c>
      <c r="G190" s="38" t="s">
        <v>12</v>
      </c>
      <c r="H190" s="20">
        <v>12</v>
      </c>
      <c r="I190" s="21" cm="1">
        <f t="array" ref="I190">_xlfn.IFS(NOT(OR($H190=12, $H190=24)), "-", $H190=12, (DATE(YEAR($F190)+1, MONTH($F190), DAY($F190))), $H190=24, (DATE(YEAR($F190)+2, MONTH($F190), DAY($F190))))</f>
        <v>45578</v>
      </c>
      <c r="J190" s="20" t="s">
        <v>12</v>
      </c>
      <c r="K190" s="20">
        <v>2022</v>
      </c>
      <c r="L190" s="20" t="s">
        <v>623</v>
      </c>
      <c r="M190" s="20">
        <v>1013</v>
      </c>
      <c r="N190" s="20"/>
      <c r="O190" s="24" t="s">
        <v>742</v>
      </c>
      <c r="P190" s="24" t="s">
        <v>744</v>
      </c>
      <c r="Q190" s="24" t="s">
        <v>746</v>
      </c>
    </row>
    <row r="191" spans="1:17" ht="20.25" customHeight="1" x14ac:dyDescent="0.4">
      <c r="A191" s="54" t="s">
        <v>462</v>
      </c>
      <c r="B191" s="20">
        <v>225279</v>
      </c>
      <c r="C191" s="20" t="s">
        <v>518</v>
      </c>
      <c r="D191" s="20" t="s">
        <v>787</v>
      </c>
      <c r="E191" s="20" t="s">
        <v>217</v>
      </c>
      <c r="F191" s="21">
        <v>45209</v>
      </c>
      <c r="G191" s="38" t="s">
        <v>12</v>
      </c>
      <c r="H191" s="20">
        <v>12</v>
      </c>
      <c r="I191" s="21" cm="1">
        <f t="array" ref="I191">_xlfn.IFS(NOT(OR($H191=12, $H191=24)), "-", $H191=12, (DATE(YEAR($F191)+1, MONTH($F191), DAY($F191))), $H191=24, (DATE(YEAR($F191)+2, MONTH($F191), DAY($F191))))</f>
        <v>45575</v>
      </c>
      <c r="J191" s="20" t="s">
        <v>12</v>
      </c>
      <c r="K191" s="20">
        <v>2022</v>
      </c>
      <c r="L191" s="20" t="s">
        <v>624</v>
      </c>
      <c r="M191" s="20">
        <v>1014</v>
      </c>
      <c r="N191" s="20"/>
      <c r="O191" s="24" t="s">
        <v>742</v>
      </c>
      <c r="P191" s="24" t="s">
        <v>744</v>
      </c>
      <c r="Q191" s="24" t="s">
        <v>746</v>
      </c>
    </row>
    <row r="192" spans="1:17" ht="20.25" customHeight="1" x14ac:dyDescent="0.4">
      <c r="A192" s="54" t="s">
        <v>463</v>
      </c>
      <c r="B192" s="20">
        <v>225280</v>
      </c>
      <c r="C192" s="20" t="s">
        <v>518</v>
      </c>
      <c r="D192" s="20" t="s">
        <v>787</v>
      </c>
      <c r="E192" s="20" t="s">
        <v>217</v>
      </c>
      <c r="F192" s="21">
        <v>45209</v>
      </c>
      <c r="G192" s="38" t="s">
        <v>12</v>
      </c>
      <c r="H192" s="20">
        <v>12</v>
      </c>
      <c r="I192" s="21" cm="1">
        <f t="array" ref="I192">_xlfn.IFS(NOT(OR($H192=12, $H192=24)), "-", $H192=12, (DATE(YEAR($F192)+1, MONTH($F192), DAY($F192))), $H192=24, (DATE(YEAR($F192)+2, MONTH($F192), DAY($F192))))</f>
        <v>45575</v>
      </c>
      <c r="J192" s="20" t="s">
        <v>12</v>
      </c>
      <c r="K192" s="20">
        <v>2022</v>
      </c>
      <c r="L192" s="20" t="s">
        <v>625</v>
      </c>
      <c r="M192" s="20">
        <v>1016</v>
      </c>
      <c r="N192" s="20"/>
      <c r="O192" s="24" t="s">
        <v>742</v>
      </c>
      <c r="P192" s="24" t="s">
        <v>744</v>
      </c>
      <c r="Q192" s="24" t="s">
        <v>746</v>
      </c>
    </row>
    <row r="193" spans="1:17" ht="20.25" customHeight="1" x14ac:dyDescent="0.4">
      <c r="A193" s="54" t="s">
        <v>464</v>
      </c>
      <c r="B193" s="20">
        <v>225281</v>
      </c>
      <c r="C193" s="20" t="s">
        <v>518</v>
      </c>
      <c r="D193" s="20" t="s">
        <v>787</v>
      </c>
      <c r="E193" s="20" t="s">
        <v>217</v>
      </c>
      <c r="F193" s="21">
        <v>45208</v>
      </c>
      <c r="G193" s="22" t="s">
        <v>12</v>
      </c>
      <c r="H193" s="20">
        <v>12</v>
      </c>
      <c r="I193" s="21" cm="1">
        <f t="array" ref="I193">_xlfn.IFS(NOT(OR($H193=12, $H193=24)), "-", $H193=12, (DATE(YEAR($F193)+1, MONTH($F193), DAY($F193))), $H193=24, (DATE(YEAR($F193)+2, MONTH($F193), DAY($F193))))</f>
        <v>45574</v>
      </c>
      <c r="J193" s="20" t="s">
        <v>12</v>
      </c>
      <c r="K193" s="20">
        <v>2022</v>
      </c>
      <c r="L193" s="20" t="s">
        <v>626</v>
      </c>
      <c r="M193" s="20">
        <v>1019</v>
      </c>
      <c r="N193" s="23"/>
      <c r="O193" s="24" t="s">
        <v>742</v>
      </c>
      <c r="P193" s="24" t="s">
        <v>744</v>
      </c>
      <c r="Q193" s="24" t="s">
        <v>746</v>
      </c>
    </row>
    <row r="194" spans="1:17" ht="20.25" customHeight="1" x14ac:dyDescent="0.4">
      <c r="A194" s="54" t="s">
        <v>465</v>
      </c>
      <c r="B194" s="20">
        <v>225282</v>
      </c>
      <c r="C194" s="20" t="s">
        <v>519</v>
      </c>
      <c r="D194" s="20" t="s">
        <v>787</v>
      </c>
      <c r="E194" s="20" t="s">
        <v>217</v>
      </c>
      <c r="F194" s="21">
        <v>45477</v>
      </c>
      <c r="G194" s="22" t="s">
        <v>12</v>
      </c>
      <c r="H194" s="20">
        <v>12</v>
      </c>
      <c r="I194" s="21" cm="1">
        <f t="array" ref="I194">_xlfn.IFS(NOT(OR($H194=12, $H194=24)), "-", $H194=12, (DATE(YEAR($F194)+1, MONTH($F194), DAY($F194))), $H194=24, (DATE(YEAR($F194)+2, MONTH($F194), DAY($F194))))</f>
        <v>45842</v>
      </c>
      <c r="J194" s="20" t="s">
        <v>12</v>
      </c>
      <c r="K194" s="20">
        <v>2022</v>
      </c>
      <c r="L194" s="20" t="s">
        <v>627</v>
      </c>
      <c r="M194" s="20">
        <v>2050</v>
      </c>
      <c r="N194" s="23"/>
      <c r="O194" s="24" t="s">
        <v>742</v>
      </c>
      <c r="P194" s="24" t="s">
        <v>744</v>
      </c>
      <c r="Q194" s="24" t="s">
        <v>746</v>
      </c>
    </row>
    <row r="195" spans="1:17" ht="20.25" customHeight="1" x14ac:dyDescent="0.4">
      <c r="A195" s="54" t="s">
        <v>466</v>
      </c>
      <c r="B195" s="20">
        <v>225976</v>
      </c>
      <c r="C195" s="20" t="s">
        <v>8</v>
      </c>
      <c r="D195" s="20" t="s">
        <v>787</v>
      </c>
      <c r="E195" s="20" t="s">
        <v>217</v>
      </c>
      <c r="F195" s="21">
        <v>44866</v>
      </c>
      <c r="G195" s="22" t="s">
        <v>12</v>
      </c>
      <c r="H195" s="20">
        <v>24</v>
      </c>
      <c r="I195" s="21" cm="1">
        <f t="array" ref="I195">_xlfn.IFS(NOT(OR($H195=12, $H195=24)), "-", $H195=12, (DATE(YEAR($F195)+1, MONTH($F195), DAY($F195))), $H195=24, (DATE(YEAR($F195)+2, MONTH($F195), DAY($F195))))</f>
        <v>45597</v>
      </c>
      <c r="J195" s="20" t="s">
        <v>12</v>
      </c>
      <c r="K195" s="20">
        <v>2022</v>
      </c>
      <c r="L195" s="20" t="s">
        <v>628</v>
      </c>
      <c r="M195" s="20">
        <v>1012</v>
      </c>
      <c r="N195" s="23"/>
      <c r="O195" s="24" t="s">
        <v>743</v>
      </c>
      <c r="P195" s="24" t="s">
        <v>744</v>
      </c>
      <c r="Q195" s="24" t="s">
        <v>746</v>
      </c>
    </row>
    <row r="196" spans="1:17" ht="20.25" customHeight="1" x14ac:dyDescent="0.4">
      <c r="A196" s="54" t="s">
        <v>467</v>
      </c>
      <c r="B196" s="20">
        <v>226269</v>
      </c>
      <c r="C196" s="30" t="s">
        <v>520</v>
      </c>
      <c r="D196" s="20" t="s">
        <v>787</v>
      </c>
      <c r="E196" s="30" t="s">
        <v>217</v>
      </c>
      <c r="F196" s="21">
        <v>45287</v>
      </c>
      <c r="G196" s="31" t="s">
        <v>1</v>
      </c>
      <c r="H196" s="30">
        <v>12</v>
      </c>
      <c r="I196" s="21" cm="1">
        <f t="array" ref="I196">_xlfn.IFS(NOT(OR($H196=12, $H196=24)), "-", $H196=12, (DATE(YEAR($F196)+1, MONTH($F196), DAY($F196))), $H196=24, (DATE(YEAR($F196)+2, MONTH($F196), DAY($F196))))</f>
        <v>45653</v>
      </c>
      <c r="J196" s="30" t="s">
        <v>527</v>
      </c>
      <c r="K196" s="20">
        <v>2022</v>
      </c>
      <c r="L196" s="30" t="s">
        <v>629</v>
      </c>
      <c r="M196" s="30" t="s">
        <v>697</v>
      </c>
      <c r="N196" s="30" t="s">
        <v>733</v>
      </c>
      <c r="O196" s="24" t="s">
        <v>743</v>
      </c>
      <c r="P196" s="24" t="s">
        <v>744</v>
      </c>
      <c r="Q196" s="24" t="s">
        <v>746</v>
      </c>
    </row>
    <row r="197" spans="1:17" ht="20.25" customHeight="1" x14ac:dyDescent="0.4">
      <c r="A197" s="54" t="s">
        <v>468</v>
      </c>
      <c r="B197" s="20">
        <v>226270</v>
      </c>
      <c r="C197" s="24" t="s">
        <v>520</v>
      </c>
      <c r="D197" s="20" t="s">
        <v>787</v>
      </c>
      <c r="E197" s="24" t="s">
        <v>217</v>
      </c>
      <c r="F197" s="21">
        <v>45287</v>
      </c>
      <c r="G197" s="40" t="s">
        <v>1</v>
      </c>
      <c r="H197" s="24">
        <v>12</v>
      </c>
      <c r="I197" s="21" cm="1">
        <f t="array" ref="I197">_xlfn.IFS(NOT(OR($H197=12, $H197=24)), "-", $H197=12, (DATE(YEAR($F197)+1, MONTH($F197), DAY($F197))), $H197=24, (DATE(YEAR($F197)+2, MONTH($F197), DAY($F197))))</f>
        <v>45653</v>
      </c>
      <c r="J197" s="41" t="s">
        <v>527</v>
      </c>
      <c r="K197" s="20">
        <v>2022</v>
      </c>
      <c r="L197" s="24" t="s">
        <v>629</v>
      </c>
      <c r="M197" s="24" t="s">
        <v>698</v>
      </c>
      <c r="N197" s="35" t="s">
        <v>733</v>
      </c>
      <c r="O197" s="24" t="s">
        <v>743</v>
      </c>
      <c r="P197" s="24" t="s">
        <v>744</v>
      </c>
      <c r="Q197" s="24" t="s">
        <v>746</v>
      </c>
    </row>
    <row r="198" spans="1:17" ht="20.25" customHeight="1" x14ac:dyDescent="0.4">
      <c r="A198" s="54" t="s">
        <v>469</v>
      </c>
      <c r="B198" s="20">
        <v>226272</v>
      </c>
      <c r="C198" s="24" t="s">
        <v>520</v>
      </c>
      <c r="D198" s="20" t="s">
        <v>787</v>
      </c>
      <c r="E198" s="24" t="s">
        <v>217</v>
      </c>
      <c r="F198" s="21">
        <v>45287</v>
      </c>
      <c r="G198" s="40" t="s">
        <v>1</v>
      </c>
      <c r="H198" s="24">
        <v>12</v>
      </c>
      <c r="I198" s="21" cm="1">
        <f t="array" ref="I198">_xlfn.IFS(NOT(OR($H198=12, $H198=24)), "-", $H198=12, (DATE(YEAR($F198)+1, MONTH($F198), DAY($F198))), $H198=24, (DATE(YEAR($F198)+2, MONTH($F198), DAY($F198))))</f>
        <v>45653</v>
      </c>
      <c r="J198" s="41" t="s">
        <v>527</v>
      </c>
      <c r="K198" s="20">
        <v>2022</v>
      </c>
      <c r="L198" s="24" t="s">
        <v>630</v>
      </c>
      <c r="M198" s="24" t="s">
        <v>699</v>
      </c>
      <c r="N198" s="35" t="s">
        <v>734</v>
      </c>
      <c r="O198" s="24" t="s">
        <v>743</v>
      </c>
      <c r="P198" s="24" t="s">
        <v>744</v>
      </c>
      <c r="Q198" s="24" t="s">
        <v>746</v>
      </c>
    </row>
    <row r="199" spans="1:17" ht="20.25" customHeight="1" x14ac:dyDescent="0.4">
      <c r="A199" s="54" t="s">
        <v>470</v>
      </c>
      <c r="B199" s="20">
        <v>226273</v>
      </c>
      <c r="C199" s="24" t="s">
        <v>520</v>
      </c>
      <c r="D199" s="20" t="s">
        <v>787</v>
      </c>
      <c r="E199" s="24" t="s">
        <v>217</v>
      </c>
      <c r="F199" s="21">
        <v>45287</v>
      </c>
      <c r="G199" s="40" t="s">
        <v>1</v>
      </c>
      <c r="H199" s="24">
        <v>12</v>
      </c>
      <c r="I199" s="21" cm="1">
        <f t="array" ref="I199">_xlfn.IFS(NOT(OR($H199=12, $H199=24)), "-", $H199=12, (DATE(YEAR($F199)+1, MONTH($F199), DAY($F199))), $H199=24, (DATE(YEAR($F199)+2, MONTH($F199), DAY($F199))))</f>
        <v>45653</v>
      </c>
      <c r="J199" s="41" t="s">
        <v>527</v>
      </c>
      <c r="K199" s="20">
        <v>2022</v>
      </c>
      <c r="L199" s="24" t="s">
        <v>630</v>
      </c>
      <c r="M199" s="24" t="s">
        <v>700</v>
      </c>
      <c r="N199" s="35" t="s">
        <v>734</v>
      </c>
      <c r="O199" s="24" t="s">
        <v>743</v>
      </c>
      <c r="P199" s="24" t="s">
        <v>744</v>
      </c>
      <c r="Q199" s="24" t="s">
        <v>746</v>
      </c>
    </row>
    <row r="200" spans="1:17" ht="20.25" customHeight="1" x14ac:dyDescent="0.4">
      <c r="A200" s="54" t="s">
        <v>471</v>
      </c>
      <c r="B200" s="20">
        <v>226274</v>
      </c>
      <c r="C200" s="24" t="s">
        <v>520</v>
      </c>
      <c r="D200" s="20" t="s">
        <v>787</v>
      </c>
      <c r="E200" s="24" t="s">
        <v>217</v>
      </c>
      <c r="F200" s="21">
        <v>45287</v>
      </c>
      <c r="G200" s="40" t="s">
        <v>1</v>
      </c>
      <c r="H200" s="24">
        <v>12</v>
      </c>
      <c r="I200" s="21" cm="1">
        <f t="array" ref="I200">_xlfn.IFS(NOT(OR($H200=12, $H200=24)), "-", $H200=12, (DATE(YEAR($F200)+1, MONTH($F200), DAY($F200))), $H200=24, (DATE(YEAR($F200)+2, MONTH($F200), DAY($F200))))</f>
        <v>45653</v>
      </c>
      <c r="J200" s="41" t="s">
        <v>527</v>
      </c>
      <c r="K200" s="20">
        <v>2022</v>
      </c>
      <c r="L200" s="24" t="s">
        <v>631</v>
      </c>
      <c r="M200" s="24" t="s">
        <v>701</v>
      </c>
      <c r="N200" s="35" t="s">
        <v>735</v>
      </c>
      <c r="O200" s="24" t="s">
        <v>743</v>
      </c>
      <c r="P200" s="24" t="s">
        <v>744</v>
      </c>
      <c r="Q200" s="24" t="s">
        <v>746</v>
      </c>
    </row>
    <row r="201" spans="1:17" ht="20.25" customHeight="1" x14ac:dyDescent="0.4">
      <c r="A201" s="54" t="s">
        <v>472</v>
      </c>
      <c r="B201" s="20">
        <v>226275</v>
      </c>
      <c r="C201" s="24" t="s">
        <v>520</v>
      </c>
      <c r="D201" s="20" t="s">
        <v>787</v>
      </c>
      <c r="E201" s="24" t="s">
        <v>217</v>
      </c>
      <c r="F201" s="21">
        <v>45287</v>
      </c>
      <c r="G201" s="40" t="s">
        <v>1</v>
      </c>
      <c r="H201" s="24">
        <v>12</v>
      </c>
      <c r="I201" s="21" cm="1">
        <f t="array" ref="I201">_xlfn.IFS(NOT(OR($H201=12, $H201=24)), "-", $H201=12, (DATE(YEAR($F201)+1, MONTH($F201), DAY($F201))), $H201=24, (DATE(YEAR($F201)+2, MONTH($F201), DAY($F201))))</f>
        <v>45653</v>
      </c>
      <c r="J201" s="41" t="s">
        <v>527</v>
      </c>
      <c r="K201" s="20">
        <v>2022</v>
      </c>
      <c r="L201" s="24" t="s">
        <v>631</v>
      </c>
      <c r="M201" s="24" t="s">
        <v>702</v>
      </c>
      <c r="N201" s="35" t="s">
        <v>735</v>
      </c>
      <c r="O201" s="24" t="s">
        <v>743</v>
      </c>
      <c r="P201" s="24" t="s">
        <v>744</v>
      </c>
      <c r="Q201" s="24" t="s">
        <v>746</v>
      </c>
    </row>
    <row r="202" spans="1:17" ht="20.25" customHeight="1" x14ac:dyDescent="0.4">
      <c r="A202" s="54" t="s">
        <v>473</v>
      </c>
      <c r="B202" s="20">
        <v>226276</v>
      </c>
      <c r="C202" s="20" t="s">
        <v>520</v>
      </c>
      <c r="D202" s="20" t="s">
        <v>787</v>
      </c>
      <c r="E202" s="20" t="s">
        <v>217</v>
      </c>
      <c r="F202" s="21">
        <v>45287</v>
      </c>
      <c r="G202" s="22" t="s">
        <v>1</v>
      </c>
      <c r="H202" s="20">
        <v>12</v>
      </c>
      <c r="I202" s="21" cm="1">
        <f t="array" ref="I202">_xlfn.IFS(NOT(OR($H202=12, $H202=24)), "-", $H202=12, (DATE(YEAR($F202)+1, MONTH($F202), DAY($F202))), $H202=24, (DATE(YEAR($F202)+2, MONTH($F202), DAY($F202))))</f>
        <v>45653</v>
      </c>
      <c r="J202" s="20" t="s">
        <v>527</v>
      </c>
      <c r="K202" s="20">
        <v>2022</v>
      </c>
      <c r="L202" s="20" t="s">
        <v>632</v>
      </c>
      <c r="M202" s="20" t="s">
        <v>651</v>
      </c>
      <c r="N202" s="20" t="s">
        <v>736</v>
      </c>
      <c r="O202" s="24" t="s">
        <v>743</v>
      </c>
      <c r="P202" s="24" t="s">
        <v>744</v>
      </c>
      <c r="Q202" s="24" t="s">
        <v>746</v>
      </c>
    </row>
    <row r="203" spans="1:17" ht="20.25" customHeight="1" x14ac:dyDescent="0.4">
      <c r="A203" s="54" t="s">
        <v>474</v>
      </c>
      <c r="B203" s="20">
        <v>226277</v>
      </c>
      <c r="C203" s="20" t="s">
        <v>520</v>
      </c>
      <c r="D203" s="20" t="s">
        <v>787</v>
      </c>
      <c r="E203" s="20" t="s">
        <v>217</v>
      </c>
      <c r="F203" s="21">
        <v>45287</v>
      </c>
      <c r="G203" s="22" t="s">
        <v>1</v>
      </c>
      <c r="H203" s="20">
        <v>12</v>
      </c>
      <c r="I203" s="21" cm="1">
        <f t="array" ref="I203">_xlfn.IFS(NOT(OR($H203=12, $H203=24)), "-", $H203=12, (DATE(YEAR($F203)+1, MONTH($F203), DAY($F203))), $H203=24, (DATE(YEAR($F203)+2, MONTH($F203), DAY($F203))))</f>
        <v>45653</v>
      </c>
      <c r="J203" s="20" t="s">
        <v>527</v>
      </c>
      <c r="K203" s="20">
        <v>2022</v>
      </c>
      <c r="L203" s="20" t="s">
        <v>632</v>
      </c>
      <c r="M203" s="20" t="s">
        <v>652</v>
      </c>
      <c r="N203" s="20" t="s">
        <v>736</v>
      </c>
      <c r="O203" s="24" t="s">
        <v>743</v>
      </c>
      <c r="P203" s="24" t="s">
        <v>744</v>
      </c>
      <c r="Q203" s="24" t="s">
        <v>746</v>
      </c>
    </row>
    <row r="204" spans="1:17" ht="20.25" customHeight="1" x14ac:dyDescent="0.4">
      <c r="A204" s="54" t="s">
        <v>475</v>
      </c>
      <c r="B204" s="20">
        <v>226278</v>
      </c>
      <c r="C204" s="20" t="s">
        <v>520</v>
      </c>
      <c r="D204" s="20" t="s">
        <v>787</v>
      </c>
      <c r="E204" s="20" t="s">
        <v>217</v>
      </c>
      <c r="F204" s="21">
        <v>45287</v>
      </c>
      <c r="G204" s="22" t="s">
        <v>1</v>
      </c>
      <c r="H204" s="20">
        <v>12</v>
      </c>
      <c r="I204" s="21" cm="1">
        <f t="array" ref="I204">_xlfn.IFS(NOT(OR($H204=12, $H204=24)), "-", $H204=12, (DATE(YEAR($F204)+1, MONTH($F204), DAY($F204))), $H204=24, (DATE(YEAR($F204)+2, MONTH($F204), DAY($F204))))</f>
        <v>45653</v>
      </c>
      <c r="J204" s="20" t="s">
        <v>527</v>
      </c>
      <c r="K204" s="20">
        <v>2022</v>
      </c>
      <c r="L204" s="20" t="s">
        <v>633</v>
      </c>
      <c r="M204" s="20" t="s">
        <v>653</v>
      </c>
      <c r="N204" s="20" t="s">
        <v>737</v>
      </c>
      <c r="O204" s="24" t="s">
        <v>743</v>
      </c>
      <c r="P204" s="24" t="s">
        <v>744</v>
      </c>
      <c r="Q204" s="24" t="s">
        <v>746</v>
      </c>
    </row>
    <row r="205" spans="1:17" ht="20.25" customHeight="1" x14ac:dyDescent="0.4">
      <c r="A205" s="54" t="s">
        <v>476</v>
      </c>
      <c r="B205" s="20">
        <v>226279</v>
      </c>
      <c r="C205" s="20" t="s">
        <v>520</v>
      </c>
      <c r="D205" s="20" t="s">
        <v>787</v>
      </c>
      <c r="E205" s="20" t="s">
        <v>217</v>
      </c>
      <c r="F205" s="21">
        <v>45287</v>
      </c>
      <c r="G205" s="22" t="s">
        <v>1</v>
      </c>
      <c r="H205" s="20">
        <v>12</v>
      </c>
      <c r="I205" s="21" cm="1">
        <f t="array" ref="I205">_xlfn.IFS(NOT(OR($H205=12, $H205=24)), "-", $H205=12, (DATE(YEAR($F205)+1, MONTH($F205), DAY($F205))), $H205=24, (DATE(YEAR($F205)+2, MONTH($F205), DAY($F205))))</f>
        <v>45653</v>
      </c>
      <c r="J205" s="20" t="s">
        <v>527</v>
      </c>
      <c r="K205" s="20">
        <v>2022</v>
      </c>
      <c r="L205" s="20" t="s">
        <v>633</v>
      </c>
      <c r="M205" s="20" t="s">
        <v>654</v>
      </c>
      <c r="N205" s="20" t="s">
        <v>737</v>
      </c>
      <c r="O205" s="24" t="s">
        <v>743</v>
      </c>
      <c r="P205" s="24" t="s">
        <v>744</v>
      </c>
      <c r="Q205" s="24" t="s">
        <v>746</v>
      </c>
    </row>
    <row r="206" spans="1:17" s="79" customFormat="1" ht="20.25" customHeight="1" x14ac:dyDescent="0.4">
      <c r="A206" s="54" t="s">
        <v>774</v>
      </c>
      <c r="B206" s="75">
        <v>226280</v>
      </c>
      <c r="C206" s="76" t="s">
        <v>777</v>
      </c>
      <c r="D206" s="20" t="s">
        <v>787</v>
      </c>
      <c r="E206" s="20" t="s">
        <v>217</v>
      </c>
      <c r="F206" s="77">
        <v>45497</v>
      </c>
      <c r="G206" s="78" t="s">
        <v>1</v>
      </c>
      <c r="H206" s="75">
        <v>12</v>
      </c>
      <c r="I206" s="77" cm="1">
        <f t="array" ref="I206">_xlfn.IFS(NOT(OR($H206=12, $H206=24)), "-", $H206=12, (DATE(YEAR($F206)+1, MONTH($F206), DAY($F206))), $H206=24, (DATE(YEAR($F206)+2, MONTH($F206), DAY($F206))))</f>
        <v>45862</v>
      </c>
      <c r="J206" s="78" t="s">
        <v>773</v>
      </c>
      <c r="K206" s="75">
        <v>2021</v>
      </c>
      <c r="L206" s="75">
        <v>1534</v>
      </c>
      <c r="M206" s="75" t="s">
        <v>778</v>
      </c>
      <c r="N206" s="75" t="s">
        <v>781</v>
      </c>
      <c r="O206" s="76" t="s">
        <v>743</v>
      </c>
      <c r="P206" s="24" t="s">
        <v>768</v>
      </c>
      <c r="Q206" s="24" t="s">
        <v>746</v>
      </c>
    </row>
    <row r="207" spans="1:17" s="79" customFormat="1" ht="20.25" customHeight="1" x14ac:dyDescent="0.4">
      <c r="A207" s="80" t="s">
        <v>775</v>
      </c>
      <c r="B207" s="75">
        <v>226281</v>
      </c>
      <c r="C207" s="76" t="s">
        <v>777</v>
      </c>
      <c r="D207" s="20" t="s">
        <v>787</v>
      </c>
      <c r="E207" s="20" t="s">
        <v>217</v>
      </c>
      <c r="F207" s="77">
        <v>45497</v>
      </c>
      <c r="G207" s="78" t="s">
        <v>1</v>
      </c>
      <c r="H207" s="75">
        <v>12</v>
      </c>
      <c r="I207" s="77" cm="1">
        <f t="array" ref="I207">_xlfn.IFS(NOT(OR($H207=12, $H207=24)), "-", $H207=12, (DATE(YEAR($F207)+1, MONTH($F207), DAY($F207))), $H207=24, (DATE(YEAR($F207)+2, MONTH($F207), DAY($F207))))</f>
        <v>45862</v>
      </c>
      <c r="J207" s="78" t="s">
        <v>773</v>
      </c>
      <c r="K207" s="75">
        <v>2021</v>
      </c>
      <c r="L207" s="75">
        <v>1534</v>
      </c>
      <c r="M207" s="75" t="s">
        <v>779</v>
      </c>
      <c r="N207" s="75" t="s">
        <v>781</v>
      </c>
      <c r="O207" s="76" t="s">
        <v>743</v>
      </c>
      <c r="P207" s="24" t="s">
        <v>768</v>
      </c>
      <c r="Q207" s="24" t="s">
        <v>746</v>
      </c>
    </row>
    <row r="208" spans="1:17" s="79" customFormat="1" ht="20.25" customHeight="1" x14ac:dyDescent="0.4">
      <c r="A208" s="80" t="s">
        <v>776</v>
      </c>
      <c r="B208" s="75">
        <v>226282</v>
      </c>
      <c r="C208" s="76" t="s">
        <v>777</v>
      </c>
      <c r="D208" s="20" t="s">
        <v>787</v>
      </c>
      <c r="E208" s="20" t="s">
        <v>217</v>
      </c>
      <c r="F208" s="77">
        <v>45497</v>
      </c>
      <c r="G208" s="78" t="s">
        <v>1</v>
      </c>
      <c r="H208" s="75">
        <v>12</v>
      </c>
      <c r="I208" s="77" cm="1">
        <f t="array" ref="I208">_xlfn.IFS(NOT(OR($H208=12, $H208=24)), "-", $H208=12, (DATE(YEAR($F208)+1, MONTH($F208), DAY($F208))), $H208=24, (DATE(YEAR($F208)+2, MONTH($F208), DAY($F208))))</f>
        <v>45862</v>
      </c>
      <c r="J208" s="78" t="s">
        <v>773</v>
      </c>
      <c r="K208" s="75">
        <v>2021</v>
      </c>
      <c r="L208" s="75">
        <v>1534</v>
      </c>
      <c r="M208" s="75" t="s">
        <v>780</v>
      </c>
      <c r="N208" s="75" t="s">
        <v>781</v>
      </c>
      <c r="O208" s="76" t="s">
        <v>743</v>
      </c>
      <c r="P208" s="24" t="s">
        <v>768</v>
      </c>
      <c r="Q208" s="24" t="s">
        <v>746</v>
      </c>
    </row>
    <row r="209" spans="1:17" s="79" customFormat="1" ht="20.25" customHeight="1" x14ac:dyDescent="0.4">
      <c r="A209" s="80" t="s">
        <v>782</v>
      </c>
      <c r="B209" s="75">
        <v>226283</v>
      </c>
      <c r="C209" s="76" t="s">
        <v>777</v>
      </c>
      <c r="D209" s="20" t="s">
        <v>787</v>
      </c>
      <c r="E209" s="20" t="s">
        <v>217</v>
      </c>
      <c r="F209" s="77">
        <v>45497</v>
      </c>
      <c r="G209" s="78" t="s">
        <v>1</v>
      </c>
      <c r="H209" s="75">
        <v>12</v>
      </c>
      <c r="I209" s="77" cm="1">
        <f t="array" ref="I209">_xlfn.IFS(NOT(OR($H209=12, $H209=24)), "-", $H209=12, (DATE(YEAR($F209)+1, MONTH($F209), DAY($F209))), $H209=24, (DATE(YEAR($F209)+2, MONTH($F209), DAY($F209))))</f>
        <v>45862</v>
      </c>
      <c r="J209" s="78" t="s">
        <v>773</v>
      </c>
      <c r="K209" s="75">
        <v>2021</v>
      </c>
      <c r="L209" s="75">
        <v>1534</v>
      </c>
      <c r="M209" s="75" t="s">
        <v>784</v>
      </c>
      <c r="N209" s="75" t="s">
        <v>781</v>
      </c>
      <c r="O209" s="76" t="s">
        <v>743</v>
      </c>
      <c r="P209" s="24" t="s">
        <v>768</v>
      </c>
      <c r="Q209" s="24" t="s">
        <v>746</v>
      </c>
    </row>
    <row r="210" spans="1:17" s="79" customFormat="1" ht="20.25" customHeight="1" x14ac:dyDescent="0.4">
      <c r="A210" s="80" t="s">
        <v>783</v>
      </c>
      <c r="B210" s="75">
        <v>226284</v>
      </c>
      <c r="C210" s="76" t="s">
        <v>777</v>
      </c>
      <c r="D210" s="20" t="s">
        <v>787</v>
      </c>
      <c r="E210" s="20" t="s">
        <v>217</v>
      </c>
      <c r="F210" s="77">
        <v>45497</v>
      </c>
      <c r="G210" s="78" t="s">
        <v>1</v>
      </c>
      <c r="H210" s="75">
        <v>12</v>
      </c>
      <c r="I210" s="77" cm="1">
        <f t="array" ref="I210">_xlfn.IFS(NOT(OR($H210=12, $H210=24)), "-", $H210=12, (DATE(YEAR($F210)+1, MONTH($F210), DAY($F210))), $H210=24, (DATE(YEAR($F210)+2, MONTH($F210), DAY($F210))))</f>
        <v>45862</v>
      </c>
      <c r="J210" s="78" t="s">
        <v>773</v>
      </c>
      <c r="K210" s="75">
        <v>2021</v>
      </c>
      <c r="L210" s="75">
        <v>1534</v>
      </c>
      <c r="M210" s="75" t="s">
        <v>785</v>
      </c>
      <c r="N210" s="75" t="s">
        <v>781</v>
      </c>
      <c r="O210" s="76" t="s">
        <v>743</v>
      </c>
      <c r="P210" s="24" t="s">
        <v>768</v>
      </c>
      <c r="Q210" s="24" t="s">
        <v>746</v>
      </c>
    </row>
    <row r="211" spans="1:17" ht="20.25" customHeight="1" x14ac:dyDescent="0.4">
      <c r="A211" s="54" t="s">
        <v>477</v>
      </c>
      <c r="B211" s="20">
        <v>226285</v>
      </c>
      <c r="C211" s="24" t="s">
        <v>4</v>
      </c>
      <c r="D211" s="20" t="s">
        <v>787</v>
      </c>
      <c r="E211" s="39" t="s">
        <v>217</v>
      </c>
      <c r="F211" s="21">
        <v>45295</v>
      </c>
      <c r="G211" s="41" t="s">
        <v>1</v>
      </c>
      <c r="H211" s="42">
        <v>12</v>
      </c>
      <c r="I211" s="21" cm="1">
        <f t="array" ref="I211">_xlfn.IFS(NOT(OR($H211=12, $H211=24)), "-", $H211=12, (DATE(YEAR($F211)+1, MONTH($F211), DAY($F211))), $H211=24, (DATE(YEAR($F211)+2, MONTH($F211), DAY($F211))))</f>
        <v>45661</v>
      </c>
      <c r="J211" s="41" t="s">
        <v>530</v>
      </c>
      <c r="K211" s="20">
        <v>2022</v>
      </c>
      <c r="L211" s="24">
        <v>100318010</v>
      </c>
      <c r="M211" s="35">
        <v>215541</v>
      </c>
      <c r="N211" s="24" t="s">
        <v>738</v>
      </c>
      <c r="O211" s="24" t="s">
        <v>743</v>
      </c>
      <c r="P211" s="24" t="s">
        <v>744</v>
      </c>
      <c r="Q211" s="24" t="s">
        <v>746</v>
      </c>
    </row>
    <row r="212" spans="1:17" ht="20.25" customHeight="1" x14ac:dyDescent="0.4">
      <c r="A212" s="54" t="s">
        <v>478</v>
      </c>
      <c r="B212" s="20">
        <v>226286</v>
      </c>
      <c r="C212" s="24" t="s">
        <v>4</v>
      </c>
      <c r="D212" s="20" t="s">
        <v>787</v>
      </c>
      <c r="E212" s="39" t="s">
        <v>217</v>
      </c>
      <c r="F212" s="21">
        <v>45295</v>
      </c>
      <c r="G212" s="41" t="s">
        <v>1</v>
      </c>
      <c r="H212" s="42">
        <v>12</v>
      </c>
      <c r="I212" s="21" cm="1">
        <f t="array" ref="I212">_xlfn.IFS(NOT(OR($H212=12, $H212=24)), "-", $H212=12, (DATE(YEAR($F212)+1, MONTH($F212), DAY($F212))), $H212=24, (DATE(YEAR($F212)+2, MONTH($F212), DAY($F212))))</f>
        <v>45661</v>
      </c>
      <c r="J212" s="41" t="s">
        <v>530</v>
      </c>
      <c r="K212" s="20">
        <v>2022</v>
      </c>
      <c r="L212" s="24">
        <v>100318010</v>
      </c>
      <c r="M212" s="35">
        <v>215542</v>
      </c>
      <c r="N212" s="24" t="s">
        <v>738</v>
      </c>
      <c r="O212" s="24" t="s">
        <v>743</v>
      </c>
      <c r="P212" s="24" t="s">
        <v>744</v>
      </c>
      <c r="Q212" s="24" t="s">
        <v>746</v>
      </c>
    </row>
    <row r="213" spans="1:17" ht="20.25" customHeight="1" x14ac:dyDescent="0.4">
      <c r="A213" s="54" t="s">
        <v>479</v>
      </c>
      <c r="B213" s="20">
        <v>234866</v>
      </c>
      <c r="C213" s="24" t="s">
        <v>521</v>
      </c>
      <c r="D213" s="20" t="s">
        <v>787</v>
      </c>
      <c r="E213" s="20" t="s">
        <v>217</v>
      </c>
      <c r="F213" s="21">
        <v>45457</v>
      </c>
      <c r="G213" s="22" t="s">
        <v>1</v>
      </c>
      <c r="H213" s="20">
        <v>12</v>
      </c>
      <c r="I213" s="21" cm="1">
        <f t="array" ref="I213">_xlfn.IFS(NOT(OR($H213=12, $H213=24)), "-", $H213=12, (DATE(YEAR($F213)+1, MONTH($F213), DAY($F213))), $H213=24, (DATE(YEAR($F213)+2, MONTH($F213), DAY($F213))))</f>
        <v>45822</v>
      </c>
      <c r="J213" s="41" t="s">
        <v>524</v>
      </c>
      <c r="K213" s="20">
        <v>2023</v>
      </c>
      <c r="L213" s="20" t="s">
        <v>634</v>
      </c>
      <c r="M213" s="20">
        <v>3031250</v>
      </c>
      <c r="N213" s="20"/>
      <c r="O213" s="24" t="s">
        <v>743</v>
      </c>
      <c r="P213" s="24" t="s">
        <v>744</v>
      </c>
      <c r="Q213" s="24" t="s">
        <v>746</v>
      </c>
    </row>
    <row r="214" spans="1:17" ht="20.25" customHeight="1" x14ac:dyDescent="0.4">
      <c r="A214" s="54" t="s">
        <v>480</v>
      </c>
      <c r="B214" s="20">
        <v>240177</v>
      </c>
      <c r="C214" s="24" t="s">
        <v>520</v>
      </c>
      <c r="D214" s="20" t="s">
        <v>787</v>
      </c>
      <c r="E214" s="20" t="s">
        <v>217</v>
      </c>
      <c r="F214" s="21">
        <v>45558</v>
      </c>
      <c r="G214" s="41" t="s">
        <v>1</v>
      </c>
      <c r="H214" s="20">
        <v>12</v>
      </c>
      <c r="I214" s="21" cm="1">
        <f t="array" ref="I214">_xlfn.IFS(NOT(OR($H214=12, $H214=24)), "-", $H214=12, (DATE(YEAR($F214)+1, MONTH($F214), DAY($F214))), $H214=24, (DATE(YEAR($F214)+2, MONTH($F214), DAY($F214))))</f>
        <v>45923</v>
      </c>
      <c r="J214" s="41" t="s">
        <v>527</v>
      </c>
      <c r="K214" s="20">
        <v>2023</v>
      </c>
      <c r="L214" s="20" t="s">
        <v>635</v>
      </c>
      <c r="M214" s="20" t="s">
        <v>703</v>
      </c>
      <c r="N214" s="23" t="s">
        <v>739</v>
      </c>
      <c r="O214" s="24" t="s">
        <v>743</v>
      </c>
      <c r="P214" s="24" t="s">
        <v>744</v>
      </c>
      <c r="Q214" s="24" t="s">
        <v>746</v>
      </c>
    </row>
    <row r="215" spans="1:17" ht="20.25" customHeight="1" x14ac:dyDescent="0.4">
      <c r="A215" s="54" t="s">
        <v>481</v>
      </c>
      <c r="B215" s="20">
        <v>240176</v>
      </c>
      <c r="C215" s="24" t="s">
        <v>520</v>
      </c>
      <c r="D215" s="20" t="s">
        <v>787</v>
      </c>
      <c r="E215" s="20" t="s">
        <v>217</v>
      </c>
      <c r="F215" s="21">
        <v>45558</v>
      </c>
      <c r="G215" s="41" t="s">
        <v>1</v>
      </c>
      <c r="H215" s="20">
        <v>12</v>
      </c>
      <c r="I215" s="21" cm="1">
        <f t="array" ref="I215">_xlfn.IFS(NOT(OR($H215=12, $H215=24)), "-", $H215=12, (DATE(YEAR($F215)+1, MONTH($F215), DAY($F215))), $H215=24, (DATE(YEAR($F215)+2, MONTH($F215), DAY($F215))))</f>
        <v>45923</v>
      </c>
      <c r="J215" s="41" t="s">
        <v>527</v>
      </c>
      <c r="K215" s="20">
        <v>2023</v>
      </c>
      <c r="L215" s="20" t="s">
        <v>635</v>
      </c>
      <c r="M215" s="20" t="s">
        <v>704</v>
      </c>
      <c r="N215" s="20" t="s">
        <v>739</v>
      </c>
      <c r="O215" s="24" t="s">
        <v>743</v>
      </c>
      <c r="P215" s="24" t="s">
        <v>744</v>
      </c>
      <c r="Q215" s="24" t="s">
        <v>746</v>
      </c>
    </row>
    <row r="216" spans="1:17" ht="20.25" customHeight="1" x14ac:dyDescent="0.4">
      <c r="A216" s="54" t="s">
        <v>482</v>
      </c>
      <c r="B216" s="20">
        <v>240175</v>
      </c>
      <c r="C216" s="24" t="s">
        <v>520</v>
      </c>
      <c r="D216" s="20" t="s">
        <v>787</v>
      </c>
      <c r="E216" s="20" t="s">
        <v>217</v>
      </c>
      <c r="F216" s="21">
        <v>45558</v>
      </c>
      <c r="G216" s="41" t="s">
        <v>1</v>
      </c>
      <c r="H216" s="20">
        <v>12</v>
      </c>
      <c r="I216" s="21" cm="1">
        <f t="array" ref="I216">_xlfn.IFS(NOT(OR($H216=12, $H216=24)), "-", $H216=12, (DATE(YEAR($F216)+1, MONTH($F216), DAY($F216))), $H216=24, (DATE(YEAR($F216)+2, MONTH($F216), DAY($F216))))</f>
        <v>45923</v>
      </c>
      <c r="J216" s="41" t="s">
        <v>527</v>
      </c>
      <c r="K216" s="20">
        <v>2023</v>
      </c>
      <c r="L216" s="20" t="s">
        <v>636</v>
      </c>
      <c r="M216" s="20" t="s">
        <v>705</v>
      </c>
      <c r="N216" s="20" t="s">
        <v>740</v>
      </c>
      <c r="O216" s="24" t="s">
        <v>743</v>
      </c>
      <c r="P216" s="24" t="s">
        <v>744</v>
      </c>
      <c r="Q216" s="24" t="s">
        <v>746</v>
      </c>
    </row>
    <row r="217" spans="1:17" ht="20.25" customHeight="1" x14ac:dyDescent="0.4">
      <c r="A217" s="54" t="s">
        <v>483</v>
      </c>
      <c r="B217" s="20">
        <v>240174</v>
      </c>
      <c r="C217" s="24" t="s">
        <v>520</v>
      </c>
      <c r="D217" s="20" t="s">
        <v>787</v>
      </c>
      <c r="E217" s="20" t="s">
        <v>217</v>
      </c>
      <c r="F217" s="21">
        <v>45558</v>
      </c>
      <c r="G217" s="41" t="s">
        <v>1</v>
      </c>
      <c r="H217" s="20">
        <v>12</v>
      </c>
      <c r="I217" s="21" cm="1">
        <f t="array" ref="I217">_xlfn.IFS(NOT(OR($H217=12, $H217=24)), "-", $H217=12, (DATE(YEAR($F217)+1, MONTH($F217), DAY($F217))), $H217=24, (DATE(YEAR($F217)+2, MONTH($F217), DAY($F217))))</f>
        <v>45923</v>
      </c>
      <c r="J217" s="41" t="s">
        <v>527</v>
      </c>
      <c r="K217" s="20">
        <v>2023</v>
      </c>
      <c r="L217" s="43" t="s">
        <v>636</v>
      </c>
      <c r="M217" s="43" t="s">
        <v>706</v>
      </c>
      <c r="N217" s="24" t="s">
        <v>740</v>
      </c>
      <c r="O217" s="24" t="s">
        <v>743</v>
      </c>
      <c r="P217" s="24" t="s">
        <v>744</v>
      </c>
      <c r="Q217" s="24" t="s">
        <v>746</v>
      </c>
    </row>
    <row r="218" spans="1:17" ht="20.25" customHeight="1" x14ac:dyDescent="0.4">
      <c r="A218" s="54" t="s">
        <v>484</v>
      </c>
      <c r="B218" s="20">
        <v>240157</v>
      </c>
      <c r="C218" s="24" t="s">
        <v>496</v>
      </c>
      <c r="D218" s="20" t="s">
        <v>787</v>
      </c>
      <c r="E218" s="20" t="s">
        <v>217</v>
      </c>
      <c r="F218" s="21">
        <v>45558</v>
      </c>
      <c r="G218" s="41" t="s">
        <v>1</v>
      </c>
      <c r="H218" s="20">
        <v>12</v>
      </c>
      <c r="I218" s="21" cm="1">
        <f t="array" ref="I218">_xlfn.IFS(NOT(OR($H218=12, $H218=24)), "-", $H218=12, (DATE(YEAR($F218)+1, MONTH($F218), DAY($F218))), $H218=24, (DATE(YEAR($F218)+2, MONTH($F218), DAY($F218))))</f>
        <v>45923</v>
      </c>
      <c r="J218" s="41" t="s">
        <v>66</v>
      </c>
      <c r="K218" s="20">
        <v>2023</v>
      </c>
      <c r="L218" s="20" t="s">
        <v>577</v>
      </c>
      <c r="M218" s="20">
        <v>113937</v>
      </c>
      <c r="N218" s="20" t="s">
        <v>717</v>
      </c>
      <c r="O218" s="24" t="s">
        <v>743</v>
      </c>
      <c r="P218" s="24" t="s">
        <v>744</v>
      </c>
      <c r="Q218" s="24" t="s">
        <v>746</v>
      </c>
    </row>
    <row r="219" spans="1:17" ht="20.25" customHeight="1" x14ac:dyDescent="0.4">
      <c r="A219" s="54" t="s">
        <v>316</v>
      </c>
      <c r="B219" s="20">
        <v>244757</v>
      </c>
      <c r="C219" s="24" t="s">
        <v>22</v>
      </c>
      <c r="D219" s="20" t="s">
        <v>787</v>
      </c>
      <c r="E219" s="20" t="s">
        <v>217</v>
      </c>
      <c r="F219" s="21">
        <v>45497</v>
      </c>
      <c r="G219" s="41" t="s">
        <v>1</v>
      </c>
      <c r="H219" s="20">
        <v>12</v>
      </c>
      <c r="I219" s="21" cm="1">
        <f t="array" ref="I219">_xlfn.IFS(NOT(OR($H219=12, $H219=24)), "-", $H219=12, (DATE(YEAR($F219)+1, MONTH($F219), DAY($F219))), $H219=24, (DATE(YEAR($F219)+2, MONTH($F219), DAY($F219))))</f>
        <v>45862</v>
      </c>
      <c r="J219" s="20" t="s">
        <v>529</v>
      </c>
      <c r="K219" s="20">
        <v>2014</v>
      </c>
      <c r="L219" s="20" t="s">
        <v>637</v>
      </c>
      <c r="M219" s="20" t="s">
        <v>707</v>
      </c>
      <c r="N219" s="20" t="s">
        <v>741</v>
      </c>
      <c r="O219" s="24" t="s">
        <v>743</v>
      </c>
      <c r="P219" s="24" t="s">
        <v>744</v>
      </c>
      <c r="Q219" s="24" t="s">
        <v>746</v>
      </c>
    </row>
    <row r="220" spans="1:17" ht="20.25" customHeight="1" x14ac:dyDescent="0.4">
      <c r="A220" s="54" t="s">
        <v>317</v>
      </c>
      <c r="B220" s="20">
        <v>244755</v>
      </c>
      <c r="C220" s="24" t="s">
        <v>220</v>
      </c>
      <c r="D220" s="20" t="s">
        <v>787</v>
      </c>
      <c r="E220" s="20" t="s">
        <v>217</v>
      </c>
      <c r="F220" s="21">
        <v>45294</v>
      </c>
      <c r="G220" s="41" t="s">
        <v>1</v>
      </c>
      <c r="H220" s="20">
        <v>12</v>
      </c>
      <c r="I220" s="21" cm="1">
        <f t="array" ref="I220">_xlfn.IFS(NOT(OR($H220=12, $H220=24)), "-", $H220=12, (DATE(YEAR($F220)+1, MONTH($F220), DAY($F220))), $H220=24, (DATE(YEAR($F220)+2, MONTH($F220), DAY($F220))))</f>
        <v>45660</v>
      </c>
      <c r="J220" s="20" t="s">
        <v>66</v>
      </c>
      <c r="K220" s="20">
        <v>2022</v>
      </c>
      <c r="L220" s="20" t="s">
        <v>547</v>
      </c>
      <c r="M220" s="20">
        <v>169802</v>
      </c>
      <c r="N220" s="20"/>
      <c r="O220" s="24" t="s">
        <v>743</v>
      </c>
      <c r="P220" s="24" t="s">
        <v>768</v>
      </c>
      <c r="Q220" s="24" t="s">
        <v>746</v>
      </c>
    </row>
    <row r="221" spans="1:17" ht="20.25" customHeight="1" x14ac:dyDescent="0.4">
      <c r="A221" s="54" t="s">
        <v>318</v>
      </c>
      <c r="B221" s="20">
        <v>245269</v>
      </c>
      <c r="C221" s="24" t="s">
        <v>51</v>
      </c>
      <c r="D221" s="20" t="s">
        <v>787</v>
      </c>
      <c r="E221" s="20" t="s">
        <v>217</v>
      </c>
      <c r="F221" s="21">
        <v>45539</v>
      </c>
      <c r="G221" s="41" t="s">
        <v>1</v>
      </c>
      <c r="H221" s="20">
        <v>12</v>
      </c>
      <c r="I221" s="21" cm="1">
        <f t="array" ref="I221">_xlfn.IFS(NOT(OR($H221=12, $H221=24)), "-", $H221=12, (DATE(YEAR($F221)+1, MONTH($F221), DAY($F221))), $H221=24, (DATE(YEAR($F221)+2, MONTH($F221), DAY($F221))))</f>
        <v>45904</v>
      </c>
      <c r="J221" s="20" t="s">
        <v>12</v>
      </c>
      <c r="K221" s="20">
        <v>2021</v>
      </c>
      <c r="L221" s="20" t="s">
        <v>52</v>
      </c>
      <c r="M221" s="20">
        <v>3871</v>
      </c>
      <c r="N221" s="20"/>
      <c r="O221" s="24" t="s">
        <v>743</v>
      </c>
      <c r="P221" s="24" t="s">
        <v>744</v>
      </c>
      <c r="Q221" s="24" t="s">
        <v>746</v>
      </c>
    </row>
    <row r="222" spans="1:17" ht="20.25" customHeight="1" x14ac:dyDescent="0.4">
      <c r="A222" s="54" t="s">
        <v>319</v>
      </c>
      <c r="B222" s="20">
        <v>245270</v>
      </c>
      <c r="C222" s="24" t="s">
        <v>38</v>
      </c>
      <c r="D222" s="20" t="s">
        <v>787</v>
      </c>
      <c r="E222" s="20" t="s">
        <v>217</v>
      </c>
      <c r="F222" s="21">
        <v>45485</v>
      </c>
      <c r="G222" s="41" t="s">
        <v>1</v>
      </c>
      <c r="H222" s="20">
        <v>12</v>
      </c>
      <c r="I222" s="21" cm="1">
        <f t="array" ref="I222">_xlfn.IFS(NOT(OR($H222=12, $H222=24)), "-", $H222=12, (DATE(YEAR($F222)+1, MONTH($F222), DAY($F222))), $H222=24, (DATE(YEAR($F222)+2, MONTH($F222), DAY($F222))))</f>
        <v>45850</v>
      </c>
      <c r="J222" s="20" t="s">
        <v>12</v>
      </c>
      <c r="K222" s="20">
        <v>2021</v>
      </c>
      <c r="L222" s="20" t="s">
        <v>566</v>
      </c>
      <c r="M222" s="20">
        <v>1343</v>
      </c>
      <c r="N222" s="20"/>
      <c r="O222" s="24" t="s">
        <v>743</v>
      </c>
      <c r="P222" s="24" t="s">
        <v>744</v>
      </c>
      <c r="Q222" s="24" t="s">
        <v>746</v>
      </c>
    </row>
    <row r="223" spans="1:17" ht="20.25" customHeight="1" x14ac:dyDescent="0.4">
      <c r="A223" s="54" t="s">
        <v>749</v>
      </c>
      <c r="B223" s="20">
        <v>249405</v>
      </c>
      <c r="C223" s="24" t="s">
        <v>59</v>
      </c>
      <c r="D223" s="20" t="s">
        <v>787</v>
      </c>
      <c r="E223" s="20" t="s">
        <v>217</v>
      </c>
      <c r="F223" s="21">
        <v>45351</v>
      </c>
      <c r="G223" s="41" t="s">
        <v>1</v>
      </c>
      <c r="H223" s="20">
        <v>12</v>
      </c>
      <c r="I223" s="21" cm="1">
        <f t="array" ref="I223">_xlfn.IFS(NOT(OR($H223=12, $H223=24)), "-", $H223=12, (DATE(YEAR($F223)+1, MONTH($F223), DAY($F223))), $H223=24, (DATE(YEAR($F223)+2, MONTH($F223), DAY($F223))))</f>
        <v>45717</v>
      </c>
      <c r="J223" s="20" t="s">
        <v>527</v>
      </c>
      <c r="K223" s="20">
        <v>2024</v>
      </c>
      <c r="L223" s="20" t="s">
        <v>750</v>
      </c>
      <c r="M223" s="20">
        <v>32333</v>
      </c>
      <c r="N223" s="20"/>
      <c r="O223" s="24" t="s">
        <v>743</v>
      </c>
      <c r="P223" s="24" t="s">
        <v>744</v>
      </c>
      <c r="Q223" s="24" t="s">
        <v>746</v>
      </c>
    </row>
    <row r="224" spans="1:17" ht="20.25" customHeight="1" x14ac:dyDescent="0.4">
      <c r="A224" s="54" t="s">
        <v>751</v>
      </c>
      <c r="B224" s="20">
        <v>249446</v>
      </c>
      <c r="C224" s="24" t="s">
        <v>59</v>
      </c>
      <c r="D224" s="20" t="s">
        <v>787</v>
      </c>
      <c r="E224" s="20" t="s">
        <v>217</v>
      </c>
      <c r="F224" s="21">
        <v>45351</v>
      </c>
      <c r="G224" s="41" t="s">
        <v>1</v>
      </c>
      <c r="H224" s="20">
        <v>12</v>
      </c>
      <c r="I224" s="21" cm="1">
        <f t="array" ref="I224">_xlfn.IFS(NOT(OR($H224=12, $H224=24)), "-", $H224=12, (DATE(YEAR($F224)+1, MONTH($F224), DAY($F224))), $H224=24, (DATE(YEAR($F224)+2, MONTH($F224), DAY($F224))))</f>
        <v>45717</v>
      </c>
      <c r="J224" s="20" t="s">
        <v>527</v>
      </c>
      <c r="K224" s="20">
        <v>2024</v>
      </c>
      <c r="L224" s="20" t="s">
        <v>750</v>
      </c>
      <c r="M224" s="20">
        <v>32241</v>
      </c>
      <c r="N224" s="20"/>
      <c r="O224" s="24" t="s">
        <v>743</v>
      </c>
      <c r="P224" s="24" t="s">
        <v>744</v>
      </c>
      <c r="Q224" s="24" t="s">
        <v>746</v>
      </c>
    </row>
    <row r="225" spans="1:17" ht="20.25" customHeight="1" x14ac:dyDescent="0.4">
      <c r="A225" s="54" t="s">
        <v>752</v>
      </c>
      <c r="B225" s="20">
        <v>249447</v>
      </c>
      <c r="C225" s="24" t="s">
        <v>59</v>
      </c>
      <c r="D225" s="20" t="s">
        <v>787</v>
      </c>
      <c r="E225" s="20" t="s">
        <v>217</v>
      </c>
      <c r="F225" s="21">
        <v>45351</v>
      </c>
      <c r="G225" s="41" t="s">
        <v>1</v>
      </c>
      <c r="H225" s="20">
        <v>12</v>
      </c>
      <c r="I225" s="21" cm="1">
        <f t="array" ref="I225">_xlfn.IFS(NOT(OR($H225=12, $H225=24)), "-", $H225=12, (DATE(YEAR($F225)+1, MONTH($F225), DAY($F225))), $H225=24, (DATE(YEAR($F225)+2, MONTH($F225), DAY($F225))))</f>
        <v>45717</v>
      </c>
      <c r="J225" s="20" t="s">
        <v>527</v>
      </c>
      <c r="K225" s="20">
        <v>2024</v>
      </c>
      <c r="L225" s="20" t="s">
        <v>753</v>
      </c>
      <c r="M225" s="20">
        <v>32226</v>
      </c>
      <c r="N225" s="20"/>
      <c r="O225" s="24" t="s">
        <v>743</v>
      </c>
      <c r="P225" s="24" t="s">
        <v>744</v>
      </c>
      <c r="Q225" s="24" t="s">
        <v>746</v>
      </c>
    </row>
    <row r="226" spans="1:17" ht="20.25" customHeight="1" x14ac:dyDescent="0.4">
      <c r="A226" s="54" t="s">
        <v>754</v>
      </c>
      <c r="B226" s="20">
        <v>249448</v>
      </c>
      <c r="C226" s="24" t="s">
        <v>755</v>
      </c>
      <c r="D226" s="20" t="s">
        <v>787</v>
      </c>
      <c r="E226" s="20" t="s">
        <v>217</v>
      </c>
      <c r="F226" s="21">
        <v>45351</v>
      </c>
      <c r="G226" s="41" t="s">
        <v>1</v>
      </c>
      <c r="H226" s="20">
        <v>12</v>
      </c>
      <c r="I226" s="21" cm="1">
        <f t="array" ref="I226">_xlfn.IFS(NOT(OR($H226=12, $H226=24)), "-", $H226=12, (DATE(YEAR($F226)+1, MONTH($F226), DAY($F226))), $H226=24, (DATE(YEAR($F226)+2, MONTH($F226), DAY($F226))))</f>
        <v>45717</v>
      </c>
      <c r="J226" s="20" t="s">
        <v>527</v>
      </c>
      <c r="K226" s="20">
        <v>2024</v>
      </c>
      <c r="L226" s="20" t="s">
        <v>756</v>
      </c>
      <c r="M226" s="20">
        <v>2316</v>
      </c>
      <c r="N226" s="20"/>
      <c r="O226" s="24" t="s">
        <v>743</v>
      </c>
      <c r="P226" s="24" t="s">
        <v>744</v>
      </c>
      <c r="Q226" s="24" t="s">
        <v>746</v>
      </c>
    </row>
    <row r="227" spans="1:17" ht="20.25" customHeight="1" x14ac:dyDescent="0.4">
      <c r="A227" s="54" t="s">
        <v>757</v>
      </c>
      <c r="B227" s="20">
        <v>249449</v>
      </c>
      <c r="C227" s="24" t="s">
        <v>755</v>
      </c>
      <c r="D227" s="20" t="s">
        <v>787</v>
      </c>
      <c r="E227" s="20" t="s">
        <v>217</v>
      </c>
      <c r="F227" s="21">
        <v>45351</v>
      </c>
      <c r="G227" s="41" t="s">
        <v>1</v>
      </c>
      <c r="H227" s="20">
        <v>12</v>
      </c>
      <c r="I227" s="21" cm="1">
        <f t="array" ref="I227">_xlfn.IFS(NOT(OR($H227=12, $H227=24)), "-", $H227=12, (DATE(YEAR($F227)+1, MONTH($F227), DAY($F227))), $H227=24, (DATE(YEAR($F227)+2, MONTH($F227), DAY($F227))))</f>
        <v>45717</v>
      </c>
      <c r="J227" s="20" t="s">
        <v>527</v>
      </c>
      <c r="K227" s="20">
        <v>2024</v>
      </c>
      <c r="L227" s="20" t="s">
        <v>756</v>
      </c>
      <c r="M227" s="20">
        <v>2316</v>
      </c>
      <c r="N227" s="20"/>
      <c r="O227" s="24" t="s">
        <v>743</v>
      </c>
      <c r="P227" s="24" t="s">
        <v>744</v>
      </c>
      <c r="Q227" s="24" t="s">
        <v>746</v>
      </c>
    </row>
    <row r="228" spans="1:17" ht="20.25" customHeight="1" x14ac:dyDescent="0.4">
      <c r="A228" s="54" t="s">
        <v>758</v>
      </c>
      <c r="B228" s="20">
        <v>249450</v>
      </c>
      <c r="C228" s="24" t="s">
        <v>759</v>
      </c>
      <c r="D228" s="20" t="s">
        <v>787</v>
      </c>
      <c r="E228" s="20" t="s">
        <v>217</v>
      </c>
      <c r="F228" s="21">
        <v>45343</v>
      </c>
      <c r="G228" s="41" t="s">
        <v>1</v>
      </c>
      <c r="H228" s="20">
        <v>12</v>
      </c>
      <c r="I228" s="21" cm="1">
        <f t="array" ref="I228">_xlfn.IFS(NOT(OR($H228=12, $H228=24)), "-", $H228=12, (DATE(YEAR($F228)+1, MONTH($F228), DAY($F228))), $H228=24, (DATE(YEAR($F228)+2, MONTH($F228), DAY($F228))))</f>
        <v>45709</v>
      </c>
      <c r="J228" s="20" t="s">
        <v>527</v>
      </c>
      <c r="K228" s="20">
        <v>2024</v>
      </c>
      <c r="L228" s="20" t="s">
        <v>760</v>
      </c>
      <c r="M228" s="20" t="s">
        <v>761</v>
      </c>
      <c r="N228" s="20"/>
      <c r="O228" s="24" t="s">
        <v>743</v>
      </c>
      <c r="P228" s="24" t="s">
        <v>744</v>
      </c>
      <c r="Q228" s="24" t="s">
        <v>746</v>
      </c>
    </row>
  </sheetData>
  <autoFilter ref="A2:Q228" xr:uid="{00000000-0009-0000-0000-000000000000}"/>
  <phoneticPr fontId="9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0" fitToWidth="0" orientation="landscape" r:id="rId1"/>
  <headerFooter>
    <oddFooter>&amp;LUL-QP-18-01(02)&amp;R유엘코리아 주식회사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topLeftCell="A4" workbookViewId="0">
      <selection activeCell="H30" sqref="H30:J35"/>
    </sheetView>
  </sheetViews>
  <sheetFormatPr defaultRowHeight="17.399999999999999" x14ac:dyDescent="0.4"/>
  <cols>
    <col min="1" max="1" width="4.59765625" customWidth="1"/>
    <col min="2" max="2" width="30.09765625" customWidth="1"/>
    <col min="3" max="3" width="25.59765625" customWidth="1"/>
    <col min="4" max="4" width="19.59765625" customWidth="1"/>
    <col min="5" max="5" width="16.59765625" customWidth="1"/>
    <col min="6" max="6" width="15.09765625" bestFit="1" customWidth="1"/>
    <col min="7" max="7" width="7.09765625" customWidth="1"/>
    <col min="8" max="8" width="12.09765625" customWidth="1"/>
    <col min="9" max="9" width="9.59765625" style="10" customWidth="1"/>
    <col min="10" max="10" width="11.09765625" customWidth="1"/>
    <col min="11" max="11" width="40.09765625" customWidth="1"/>
    <col min="12" max="12" width="21.59765625" customWidth="1"/>
    <col min="13" max="13" width="9.09765625" customWidth="1"/>
  </cols>
  <sheetData>
    <row r="1" spans="1:12" s="1" customFormat="1" ht="13.8" thickBot="1" x14ac:dyDescent="0.45">
      <c r="A1" s="14" t="s">
        <v>203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187</v>
      </c>
      <c r="H1" s="1" t="s">
        <v>188</v>
      </c>
      <c r="I1" s="8" t="s">
        <v>192</v>
      </c>
      <c r="J1" s="1" t="s">
        <v>189</v>
      </c>
      <c r="K1" s="1" t="s">
        <v>190</v>
      </c>
      <c r="L1" s="1" t="s">
        <v>191</v>
      </c>
    </row>
    <row r="2" spans="1:12" ht="12.6" customHeight="1" x14ac:dyDescent="0.4">
      <c r="A2" s="12">
        <v>1</v>
      </c>
      <c r="B2" s="2" t="s">
        <v>22</v>
      </c>
      <c r="C2" s="2" t="s">
        <v>0</v>
      </c>
      <c r="D2" s="3" t="s">
        <v>33</v>
      </c>
      <c r="E2" s="3" t="s">
        <v>34</v>
      </c>
      <c r="F2" s="2" t="s">
        <v>35</v>
      </c>
      <c r="G2" s="2" t="s">
        <v>1</v>
      </c>
      <c r="H2" s="4">
        <v>42234</v>
      </c>
      <c r="I2" s="2">
        <v>12</v>
      </c>
      <c r="J2" s="4">
        <v>42600</v>
      </c>
      <c r="K2" s="2" t="s">
        <v>23</v>
      </c>
      <c r="L2" s="2" t="s">
        <v>198</v>
      </c>
    </row>
    <row r="3" spans="1:12" ht="12.6" customHeight="1" x14ac:dyDescent="0.4">
      <c r="A3" s="13">
        <v>2</v>
      </c>
      <c r="B3" s="2" t="s">
        <v>32</v>
      </c>
      <c r="C3" s="2" t="s">
        <v>0</v>
      </c>
      <c r="D3" s="3" t="s">
        <v>81</v>
      </c>
      <c r="E3" s="3" t="s">
        <v>82</v>
      </c>
      <c r="F3" s="2" t="s">
        <v>83</v>
      </c>
      <c r="G3" s="2" t="s">
        <v>1</v>
      </c>
      <c r="H3" s="4">
        <v>42234</v>
      </c>
      <c r="I3" s="2">
        <v>12</v>
      </c>
      <c r="J3" s="4">
        <v>42600</v>
      </c>
      <c r="K3" s="2" t="s">
        <v>84</v>
      </c>
      <c r="L3" s="2" t="s">
        <v>198</v>
      </c>
    </row>
    <row r="4" spans="1:12" ht="12.6" customHeight="1" x14ac:dyDescent="0.4">
      <c r="A4" s="13">
        <v>3</v>
      </c>
      <c r="B4" s="2" t="s">
        <v>32</v>
      </c>
      <c r="C4" s="2" t="s">
        <v>0</v>
      </c>
      <c r="D4" s="3" t="s">
        <v>77</v>
      </c>
      <c r="E4" s="3" t="s">
        <v>78</v>
      </c>
      <c r="F4" s="2" t="s">
        <v>79</v>
      </c>
      <c r="G4" s="2" t="s">
        <v>1</v>
      </c>
      <c r="H4" s="4">
        <v>42234</v>
      </c>
      <c r="I4" s="2">
        <v>12</v>
      </c>
      <c r="J4" s="4">
        <v>42600</v>
      </c>
      <c r="K4" s="2" t="s">
        <v>80</v>
      </c>
      <c r="L4" s="2" t="s">
        <v>198</v>
      </c>
    </row>
    <row r="5" spans="1:12" ht="12.6" customHeight="1" x14ac:dyDescent="0.4">
      <c r="A5" s="13">
        <v>4</v>
      </c>
      <c r="B5" s="2" t="s">
        <v>32</v>
      </c>
      <c r="C5" s="2" t="s">
        <v>0</v>
      </c>
      <c r="D5" s="3" t="s">
        <v>124</v>
      </c>
      <c r="E5" s="3" t="s">
        <v>125</v>
      </c>
      <c r="F5" s="2" t="s">
        <v>126</v>
      </c>
      <c r="G5" s="2" t="s">
        <v>1</v>
      </c>
      <c r="H5" s="4">
        <v>42234</v>
      </c>
      <c r="I5" s="2">
        <v>12</v>
      </c>
      <c r="J5" s="4">
        <v>42600</v>
      </c>
      <c r="K5" s="2" t="s">
        <v>127</v>
      </c>
      <c r="L5" s="2" t="s">
        <v>198</v>
      </c>
    </row>
    <row r="6" spans="1:12" ht="26.4" x14ac:dyDescent="0.4">
      <c r="A6" s="13">
        <v>5</v>
      </c>
      <c r="B6" s="2" t="s">
        <v>96</v>
      </c>
      <c r="C6" s="2" t="s">
        <v>97</v>
      </c>
      <c r="D6" s="3" t="s">
        <v>98</v>
      </c>
      <c r="E6" s="6" t="s">
        <v>99</v>
      </c>
      <c r="F6" s="2" t="s">
        <v>100</v>
      </c>
      <c r="G6" s="2" t="s">
        <v>1</v>
      </c>
      <c r="H6" s="4">
        <v>42234</v>
      </c>
      <c r="I6" s="2">
        <v>12</v>
      </c>
      <c r="J6" s="4">
        <v>42600</v>
      </c>
      <c r="K6" s="2" t="s">
        <v>101</v>
      </c>
      <c r="L6" s="2" t="s">
        <v>198</v>
      </c>
    </row>
    <row r="7" spans="1:12" ht="12.6" customHeight="1" x14ac:dyDescent="0.4">
      <c r="A7" s="13">
        <v>6</v>
      </c>
      <c r="B7" s="2" t="s">
        <v>59</v>
      </c>
      <c r="C7" s="2" t="s">
        <v>110</v>
      </c>
      <c r="D7" s="3" t="s">
        <v>142</v>
      </c>
      <c r="E7" s="3" t="s">
        <v>143</v>
      </c>
      <c r="F7" s="2" t="s">
        <v>144</v>
      </c>
      <c r="G7" s="2" t="s">
        <v>1</v>
      </c>
      <c r="H7" s="4">
        <v>42234</v>
      </c>
      <c r="I7" s="2">
        <v>12</v>
      </c>
      <c r="J7" s="4">
        <v>42600</v>
      </c>
      <c r="K7" s="2" t="s">
        <v>145</v>
      </c>
      <c r="L7" s="2" t="s">
        <v>198</v>
      </c>
    </row>
    <row r="8" spans="1:12" ht="12.6" customHeight="1" x14ac:dyDescent="0.4">
      <c r="A8" s="13">
        <v>7</v>
      </c>
      <c r="B8" s="2" t="s">
        <v>59</v>
      </c>
      <c r="C8" s="2" t="s">
        <v>60</v>
      </c>
      <c r="D8" s="3" t="s">
        <v>61</v>
      </c>
      <c r="E8" s="3" t="s">
        <v>62</v>
      </c>
      <c r="F8" s="2" t="s">
        <v>63</v>
      </c>
      <c r="G8" s="2" t="s">
        <v>1</v>
      </c>
      <c r="H8" s="4">
        <v>42234</v>
      </c>
      <c r="I8" s="2">
        <v>12</v>
      </c>
      <c r="J8" s="4">
        <v>42600</v>
      </c>
      <c r="K8" s="2" t="s">
        <v>64</v>
      </c>
      <c r="L8" s="2" t="s">
        <v>198</v>
      </c>
    </row>
    <row r="9" spans="1:12" ht="12.6" customHeight="1" x14ac:dyDescent="0.4">
      <c r="A9" s="13">
        <v>8</v>
      </c>
      <c r="B9" s="2" t="s">
        <v>59</v>
      </c>
      <c r="C9" s="2" t="s">
        <v>110</v>
      </c>
      <c r="D9" s="3" t="s">
        <v>111</v>
      </c>
      <c r="E9" s="3" t="s">
        <v>112</v>
      </c>
      <c r="F9" s="2" t="s">
        <v>113</v>
      </c>
      <c r="G9" s="2" t="s">
        <v>1</v>
      </c>
      <c r="H9" s="4">
        <v>42234</v>
      </c>
      <c r="I9" s="2">
        <v>12</v>
      </c>
      <c r="J9" s="4">
        <v>42600</v>
      </c>
      <c r="K9" s="2" t="s">
        <v>114</v>
      </c>
      <c r="L9" s="2" t="s">
        <v>198</v>
      </c>
    </row>
    <row r="10" spans="1:12" ht="12.6" customHeight="1" x14ac:dyDescent="0.4">
      <c r="A10" s="13">
        <v>9</v>
      </c>
      <c r="B10" s="2" t="s">
        <v>4</v>
      </c>
      <c r="C10" s="2" t="s">
        <v>0</v>
      </c>
      <c r="D10" s="3" t="s">
        <v>55</v>
      </c>
      <c r="E10" s="3" t="s">
        <v>56</v>
      </c>
      <c r="F10" s="2" t="s">
        <v>57</v>
      </c>
      <c r="G10" s="2" t="s">
        <v>1</v>
      </c>
      <c r="H10" s="4">
        <v>42234</v>
      </c>
      <c r="I10" s="2">
        <v>12</v>
      </c>
      <c r="J10" s="4">
        <v>42600</v>
      </c>
      <c r="K10" s="2" t="s">
        <v>58</v>
      </c>
      <c r="L10" s="2" t="s">
        <v>198</v>
      </c>
    </row>
    <row r="11" spans="1:12" ht="12.6" customHeight="1" x14ac:dyDescent="0.4">
      <c r="A11" s="13">
        <v>10</v>
      </c>
      <c r="B11" s="2" t="s">
        <v>4</v>
      </c>
      <c r="C11" s="2" t="s">
        <v>0</v>
      </c>
      <c r="D11" s="3" t="s">
        <v>68</v>
      </c>
      <c r="E11" s="3" t="s">
        <v>69</v>
      </c>
      <c r="F11" s="2" t="s">
        <v>70</v>
      </c>
      <c r="G11" s="2" t="s">
        <v>1</v>
      </c>
      <c r="H11" s="4">
        <v>42234</v>
      </c>
      <c r="I11" s="2">
        <v>12</v>
      </c>
      <c r="J11" s="4">
        <v>42600</v>
      </c>
      <c r="K11" s="2" t="s">
        <v>71</v>
      </c>
      <c r="L11" s="2" t="s">
        <v>198</v>
      </c>
    </row>
    <row r="12" spans="1:12" ht="12.6" customHeight="1" x14ac:dyDescent="0.4">
      <c r="A12" s="13">
        <v>11</v>
      </c>
      <c r="B12" s="2" t="s">
        <v>65</v>
      </c>
      <c r="C12" s="2" t="s">
        <v>66</v>
      </c>
      <c r="D12" s="3" t="s">
        <v>67</v>
      </c>
      <c r="E12" s="3" t="s">
        <v>72</v>
      </c>
      <c r="F12" s="2" t="s">
        <v>73</v>
      </c>
      <c r="G12" s="2" t="s">
        <v>1</v>
      </c>
      <c r="H12" s="4">
        <v>42234</v>
      </c>
      <c r="I12" s="2">
        <v>12</v>
      </c>
      <c r="J12" s="4">
        <v>42600</v>
      </c>
      <c r="K12" s="2" t="s">
        <v>193</v>
      </c>
      <c r="L12" s="2" t="s">
        <v>198</v>
      </c>
    </row>
    <row r="13" spans="1:12" ht="12.6" customHeight="1" x14ac:dyDescent="0.4">
      <c r="A13" s="13">
        <v>12</v>
      </c>
      <c r="B13" s="2" t="s">
        <v>65</v>
      </c>
      <c r="C13" s="2" t="s">
        <v>66</v>
      </c>
      <c r="D13" s="3" t="s">
        <v>67</v>
      </c>
      <c r="E13" s="3" t="s">
        <v>94</v>
      </c>
      <c r="F13" s="2" t="s">
        <v>95</v>
      </c>
      <c r="G13" s="2" t="s">
        <v>1</v>
      </c>
      <c r="H13" s="4">
        <v>42234</v>
      </c>
      <c r="I13" s="2">
        <v>12</v>
      </c>
      <c r="J13" s="4">
        <v>42600</v>
      </c>
      <c r="K13" s="2" t="s">
        <v>193</v>
      </c>
      <c r="L13" s="2" t="s">
        <v>198</v>
      </c>
    </row>
    <row r="14" spans="1:12" ht="12.6" customHeight="1" x14ac:dyDescent="0.4">
      <c r="A14" s="13">
        <v>13</v>
      </c>
      <c r="B14" s="2" t="s">
        <v>85</v>
      </c>
      <c r="C14" s="2" t="s">
        <v>0</v>
      </c>
      <c r="D14" s="3" t="s">
        <v>86</v>
      </c>
      <c r="E14" s="3" t="s">
        <v>140</v>
      </c>
      <c r="F14" s="2" t="s">
        <v>141</v>
      </c>
      <c r="G14" s="2" t="s">
        <v>1</v>
      </c>
      <c r="H14" s="4">
        <v>42234</v>
      </c>
      <c r="I14" s="2">
        <v>12</v>
      </c>
      <c r="J14" s="4">
        <v>42600</v>
      </c>
      <c r="K14" s="2" t="s">
        <v>89</v>
      </c>
      <c r="L14" s="2" t="s">
        <v>198</v>
      </c>
    </row>
    <row r="15" spans="1:12" ht="12.6" customHeight="1" x14ac:dyDescent="0.4">
      <c r="A15" s="13">
        <v>14</v>
      </c>
      <c r="B15" s="2" t="s">
        <v>85</v>
      </c>
      <c r="C15" s="2" t="s">
        <v>0</v>
      </c>
      <c r="D15" s="3" t="s">
        <v>86</v>
      </c>
      <c r="E15" s="3" t="s">
        <v>87</v>
      </c>
      <c r="F15" s="2" t="s">
        <v>88</v>
      </c>
      <c r="G15" s="2" t="s">
        <v>1</v>
      </c>
      <c r="H15" s="4">
        <v>42234</v>
      </c>
      <c r="I15" s="2">
        <v>12</v>
      </c>
      <c r="J15" s="4">
        <v>42600</v>
      </c>
      <c r="K15" s="2" t="s">
        <v>89</v>
      </c>
      <c r="L15" s="2" t="s">
        <v>198</v>
      </c>
    </row>
    <row r="16" spans="1:12" ht="12.6" customHeight="1" x14ac:dyDescent="0.4">
      <c r="A16" s="13">
        <v>15</v>
      </c>
      <c r="B16" s="2" t="s">
        <v>8</v>
      </c>
      <c r="C16" s="2" t="s">
        <v>12</v>
      </c>
      <c r="D16" s="3" t="s">
        <v>43</v>
      </c>
      <c r="E16" s="3" t="s">
        <v>44</v>
      </c>
      <c r="F16" s="2" t="s">
        <v>45</v>
      </c>
      <c r="G16" s="2" t="s">
        <v>12</v>
      </c>
      <c r="H16" s="4">
        <v>42233</v>
      </c>
      <c r="I16" s="2">
        <v>12</v>
      </c>
      <c r="J16" s="4">
        <v>42599</v>
      </c>
      <c r="K16" s="2" t="s">
        <v>46</v>
      </c>
      <c r="L16" s="2" t="s">
        <v>198</v>
      </c>
    </row>
    <row r="17" spans="1:12" ht="12.6" customHeight="1" x14ac:dyDescent="0.4">
      <c r="A17" s="13">
        <v>16</v>
      </c>
      <c r="B17" s="2" t="s">
        <v>8</v>
      </c>
      <c r="C17" s="2" t="s">
        <v>12</v>
      </c>
      <c r="D17" s="3" t="s">
        <v>102</v>
      </c>
      <c r="E17" s="3" t="s">
        <v>103</v>
      </c>
      <c r="F17" s="2" t="s">
        <v>104</v>
      </c>
      <c r="G17" s="2" t="s">
        <v>12</v>
      </c>
      <c r="H17" s="4">
        <v>42277</v>
      </c>
      <c r="I17" s="2">
        <v>12</v>
      </c>
      <c r="J17" s="4">
        <v>42643</v>
      </c>
      <c r="K17" s="2" t="s">
        <v>105</v>
      </c>
      <c r="L17" s="2" t="s">
        <v>198</v>
      </c>
    </row>
    <row r="18" spans="1:12" ht="12.6" customHeight="1" x14ac:dyDescent="0.4">
      <c r="A18" s="13">
        <v>17</v>
      </c>
      <c r="B18" s="2" t="s">
        <v>8</v>
      </c>
      <c r="C18" s="2" t="s">
        <v>12</v>
      </c>
      <c r="D18" s="3" t="s">
        <v>24</v>
      </c>
      <c r="E18" s="3" t="s">
        <v>25</v>
      </c>
      <c r="F18" s="2" t="s">
        <v>26</v>
      </c>
      <c r="G18" s="2" t="s">
        <v>12</v>
      </c>
      <c r="H18" s="4">
        <v>42236</v>
      </c>
      <c r="I18" s="2">
        <v>12</v>
      </c>
      <c r="J18" s="4">
        <v>42602</v>
      </c>
      <c r="K18" s="2" t="s">
        <v>27</v>
      </c>
      <c r="L18" s="2" t="s">
        <v>198</v>
      </c>
    </row>
    <row r="19" spans="1:12" ht="12.6" customHeight="1" x14ac:dyDescent="0.4">
      <c r="A19" s="13">
        <v>18</v>
      </c>
      <c r="B19" s="2" t="s">
        <v>8</v>
      </c>
      <c r="C19" s="2" t="s">
        <v>12</v>
      </c>
      <c r="D19" s="3" t="s">
        <v>120</v>
      </c>
      <c r="E19" s="3" t="s">
        <v>121</v>
      </c>
      <c r="F19" s="2" t="s">
        <v>122</v>
      </c>
      <c r="G19" s="2" t="s">
        <v>12</v>
      </c>
      <c r="H19" s="4">
        <v>42276</v>
      </c>
      <c r="I19" s="2">
        <v>12</v>
      </c>
      <c r="J19" s="4">
        <v>42642</v>
      </c>
      <c r="K19" s="2" t="s">
        <v>123</v>
      </c>
      <c r="L19" s="2" t="s">
        <v>198</v>
      </c>
    </row>
    <row r="20" spans="1:12" ht="12.6" customHeight="1" x14ac:dyDescent="0.4">
      <c r="A20" s="13">
        <v>19</v>
      </c>
      <c r="B20" s="2" t="s">
        <v>8</v>
      </c>
      <c r="C20" s="2" t="s">
        <v>12</v>
      </c>
      <c r="D20" s="3" t="s">
        <v>90</v>
      </c>
      <c r="E20" s="3" t="s">
        <v>91</v>
      </c>
      <c r="F20" s="2" t="s">
        <v>92</v>
      </c>
      <c r="G20" s="2" t="s">
        <v>12</v>
      </c>
      <c r="H20" s="4">
        <v>42276</v>
      </c>
      <c r="I20" s="2">
        <v>12</v>
      </c>
      <c r="J20" s="4">
        <v>42642</v>
      </c>
      <c r="K20" s="2" t="s">
        <v>93</v>
      </c>
      <c r="L20" s="2" t="s">
        <v>198</v>
      </c>
    </row>
    <row r="21" spans="1:12" ht="12.6" customHeight="1" x14ac:dyDescent="0.4">
      <c r="A21" s="13">
        <v>20</v>
      </c>
      <c r="B21" s="2" t="s">
        <v>8</v>
      </c>
      <c r="C21" s="2" t="s">
        <v>12</v>
      </c>
      <c r="D21" s="3" t="s">
        <v>13</v>
      </c>
      <c r="E21" s="3" t="s">
        <v>14</v>
      </c>
      <c r="F21" s="2" t="s">
        <v>15</v>
      </c>
      <c r="G21" s="2" t="s">
        <v>12</v>
      </c>
      <c r="H21" s="4">
        <v>42276</v>
      </c>
      <c r="I21" s="2">
        <v>12</v>
      </c>
      <c r="J21" s="4">
        <v>42642</v>
      </c>
      <c r="K21" s="2" t="s">
        <v>16</v>
      </c>
      <c r="L21" s="2" t="s">
        <v>198</v>
      </c>
    </row>
    <row r="22" spans="1:12" ht="12.6" customHeight="1" x14ac:dyDescent="0.4">
      <c r="A22" s="13">
        <v>21</v>
      </c>
      <c r="B22" s="2" t="s">
        <v>8</v>
      </c>
      <c r="C22" s="2" t="s">
        <v>12</v>
      </c>
      <c r="D22" s="3" t="s">
        <v>115</v>
      </c>
      <c r="E22" s="3" t="s">
        <v>116</v>
      </c>
      <c r="F22" s="2" t="s">
        <v>117</v>
      </c>
      <c r="G22" s="2" t="s">
        <v>12</v>
      </c>
      <c r="H22" s="4">
        <v>42275</v>
      </c>
      <c r="I22" s="2">
        <v>12</v>
      </c>
      <c r="J22" s="4">
        <v>42641</v>
      </c>
      <c r="K22" s="2" t="s">
        <v>50</v>
      </c>
      <c r="L22" s="2" t="s">
        <v>198</v>
      </c>
    </row>
    <row r="23" spans="1:12" ht="12.6" customHeight="1" x14ac:dyDescent="0.4">
      <c r="A23" s="13">
        <v>22</v>
      </c>
      <c r="B23" s="2" t="s">
        <v>8</v>
      </c>
      <c r="C23" s="2" t="s">
        <v>12</v>
      </c>
      <c r="D23" s="3" t="s">
        <v>47</v>
      </c>
      <c r="E23" s="3" t="s">
        <v>48</v>
      </c>
      <c r="F23" s="2" t="s">
        <v>49</v>
      </c>
      <c r="G23" s="2" t="s">
        <v>12</v>
      </c>
      <c r="H23" s="4">
        <v>42242</v>
      </c>
      <c r="I23" s="2">
        <v>12</v>
      </c>
      <c r="J23" s="4">
        <v>42608</v>
      </c>
      <c r="K23" s="2" t="s">
        <v>196</v>
      </c>
      <c r="L23" s="2" t="s">
        <v>198</v>
      </c>
    </row>
    <row r="24" spans="1:12" ht="12.6" customHeight="1" x14ac:dyDescent="0.4">
      <c r="A24" s="13">
        <v>23</v>
      </c>
      <c r="B24" s="2" t="s">
        <v>136</v>
      </c>
      <c r="C24" s="2" t="s">
        <v>0</v>
      </c>
      <c r="D24" s="3" t="s">
        <v>137</v>
      </c>
      <c r="E24" s="3" t="s">
        <v>138</v>
      </c>
      <c r="F24" s="2" t="s">
        <v>139</v>
      </c>
      <c r="G24" s="2" t="s">
        <v>1</v>
      </c>
      <c r="H24" s="4">
        <v>42234</v>
      </c>
      <c r="I24" s="2">
        <v>12</v>
      </c>
      <c r="J24" s="4">
        <v>42600</v>
      </c>
      <c r="K24" s="2" t="s">
        <v>201</v>
      </c>
      <c r="L24" s="2" t="s">
        <v>198</v>
      </c>
    </row>
    <row r="25" spans="1:12" ht="12.6" customHeight="1" x14ac:dyDescent="0.4">
      <c r="A25" s="13">
        <v>24</v>
      </c>
      <c r="B25" s="2" t="s">
        <v>106</v>
      </c>
      <c r="C25" s="2" t="s">
        <v>12</v>
      </c>
      <c r="D25" s="3" t="s">
        <v>107</v>
      </c>
      <c r="E25" s="3" t="s">
        <v>108</v>
      </c>
      <c r="F25" s="2" t="s">
        <v>109</v>
      </c>
      <c r="G25" s="2" t="s">
        <v>12</v>
      </c>
      <c r="H25" s="4">
        <v>42220</v>
      </c>
      <c r="I25" s="2">
        <v>12</v>
      </c>
      <c r="J25" s="4">
        <v>42586</v>
      </c>
      <c r="K25" s="2" t="s">
        <v>200</v>
      </c>
      <c r="L25" s="2" t="s">
        <v>198</v>
      </c>
    </row>
    <row r="26" spans="1:12" ht="12.6" customHeight="1" x14ac:dyDescent="0.4">
      <c r="A26" s="13">
        <v>25</v>
      </c>
      <c r="B26" s="2" t="s">
        <v>17</v>
      </c>
      <c r="C26" s="2" t="s">
        <v>18</v>
      </c>
      <c r="D26" s="3" t="s">
        <v>19</v>
      </c>
      <c r="E26" s="3" t="s">
        <v>20</v>
      </c>
      <c r="F26" s="2" t="s">
        <v>21</v>
      </c>
      <c r="G26" s="2" t="s">
        <v>1</v>
      </c>
      <c r="H26" s="4">
        <v>42235</v>
      </c>
      <c r="I26" s="2">
        <v>12</v>
      </c>
      <c r="J26" s="4">
        <v>42601</v>
      </c>
      <c r="K26" s="2" t="s">
        <v>180</v>
      </c>
      <c r="L26" s="2" t="s">
        <v>198</v>
      </c>
    </row>
    <row r="27" spans="1:12" ht="12.6" customHeight="1" x14ac:dyDescent="0.4">
      <c r="A27" s="13">
        <v>26</v>
      </c>
      <c r="B27" s="2" t="s">
        <v>132</v>
      </c>
      <c r="C27" s="2" t="s">
        <v>2</v>
      </c>
      <c r="D27" s="3" t="s">
        <v>186</v>
      </c>
      <c r="E27" s="3" t="s">
        <v>186</v>
      </c>
      <c r="F27" s="2" t="s">
        <v>3</v>
      </c>
      <c r="G27" s="2" t="s">
        <v>186</v>
      </c>
      <c r="H27" s="7" t="s">
        <v>186</v>
      </c>
      <c r="I27" s="9" t="s">
        <v>186</v>
      </c>
      <c r="J27" s="7" t="s">
        <v>186</v>
      </c>
      <c r="K27" s="15" t="s">
        <v>205</v>
      </c>
      <c r="L27" s="2" t="s">
        <v>198</v>
      </c>
    </row>
    <row r="28" spans="1:12" ht="12.6" customHeight="1" x14ac:dyDescent="0.4">
      <c r="A28" s="13">
        <v>27</v>
      </c>
      <c r="B28" s="2" t="s">
        <v>132</v>
      </c>
      <c r="C28" s="2" t="s">
        <v>2</v>
      </c>
      <c r="D28" s="3" t="s">
        <v>186</v>
      </c>
      <c r="E28" s="3" t="s">
        <v>186</v>
      </c>
      <c r="F28" s="2" t="s">
        <v>74</v>
      </c>
      <c r="G28" s="2" t="s">
        <v>186</v>
      </c>
      <c r="H28" s="7" t="s">
        <v>186</v>
      </c>
      <c r="I28" s="9" t="s">
        <v>186</v>
      </c>
      <c r="J28" s="7" t="s">
        <v>186</v>
      </c>
      <c r="K28" s="2" t="s">
        <v>199</v>
      </c>
      <c r="L28" s="2" t="s">
        <v>198</v>
      </c>
    </row>
    <row r="29" spans="1:12" ht="12.6" customHeight="1" x14ac:dyDescent="0.4">
      <c r="A29" s="13">
        <v>28</v>
      </c>
      <c r="B29" s="2" t="s">
        <v>132</v>
      </c>
      <c r="C29" s="2" t="s">
        <v>2</v>
      </c>
      <c r="D29" s="3" t="s">
        <v>186</v>
      </c>
      <c r="E29" s="3" t="s">
        <v>186</v>
      </c>
      <c r="F29" s="2" t="s">
        <v>133</v>
      </c>
      <c r="G29" s="2" t="s">
        <v>186</v>
      </c>
      <c r="H29" s="7" t="s">
        <v>186</v>
      </c>
      <c r="I29" s="9" t="s">
        <v>186</v>
      </c>
      <c r="J29" s="7" t="s">
        <v>186</v>
      </c>
      <c r="K29" s="2" t="s">
        <v>199</v>
      </c>
      <c r="L29" s="2" t="s">
        <v>198</v>
      </c>
    </row>
    <row r="30" spans="1:12" ht="12.6" customHeight="1" x14ac:dyDescent="0.4">
      <c r="A30" s="13">
        <v>29</v>
      </c>
      <c r="B30" s="2" t="s">
        <v>38</v>
      </c>
      <c r="C30" s="2" t="s">
        <v>12</v>
      </c>
      <c r="D30" s="3" t="s">
        <v>39</v>
      </c>
      <c r="E30" s="3" t="s">
        <v>75</v>
      </c>
      <c r="F30" s="2" t="s">
        <v>76</v>
      </c>
      <c r="G30" s="2" t="s">
        <v>12</v>
      </c>
      <c r="H30" s="4">
        <v>42319</v>
      </c>
      <c r="I30" s="2">
        <v>12</v>
      </c>
      <c r="J30" s="4">
        <v>42685</v>
      </c>
      <c r="K30" s="2" t="s">
        <v>42</v>
      </c>
      <c r="L30" s="2" t="s">
        <v>198</v>
      </c>
    </row>
    <row r="31" spans="1:12" ht="12.6" customHeight="1" x14ac:dyDescent="0.4">
      <c r="A31" s="13">
        <v>30</v>
      </c>
      <c r="B31" s="2" t="s">
        <v>38</v>
      </c>
      <c r="C31" s="2" t="s">
        <v>12</v>
      </c>
      <c r="D31" s="3" t="s">
        <v>39</v>
      </c>
      <c r="E31" s="3" t="s">
        <v>40</v>
      </c>
      <c r="F31" s="2" t="s">
        <v>41</v>
      </c>
      <c r="G31" s="2" t="s">
        <v>12</v>
      </c>
      <c r="H31" s="4">
        <v>42270</v>
      </c>
      <c r="I31" s="2">
        <v>12</v>
      </c>
      <c r="J31" s="4">
        <v>42636</v>
      </c>
      <c r="K31" s="2" t="s">
        <v>42</v>
      </c>
      <c r="L31" s="2" t="s">
        <v>198</v>
      </c>
    </row>
    <row r="32" spans="1:12" x14ac:dyDescent="0.4">
      <c r="A32" s="13">
        <v>31</v>
      </c>
      <c r="B32" s="2" t="s">
        <v>51</v>
      </c>
      <c r="C32" s="2" t="s">
        <v>12</v>
      </c>
      <c r="D32" s="3" t="s">
        <v>52</v>
      </c>
      <c r="E32" s="3" t="s">
        <v>53</v>
      </c>
      <c r="F32" s="2" t="s">
        <v>54</v>
      </c>
      <c r="G32" s="2" t="s">
        <v>12</v>
      </c>
      <c r="H32" s="4">
        <v>42208</v>
      </c>
      <c r="I32" s="2">
        <v>12</v>
      </c>
      <c r="J32" s="4">
        <v>42574</v>
      </c>
      <c r="K32" s="5" t="s">
        <v>206</v>
      </c>
      <c r="L32" s="2" t="s">
        <v>198</v>
      </c>
    </row>
    <row r="33" spans="1:12" x14ac:dyDescent="0.4">
      <c r="A33" s="13">
        <v>32</v>
      </c>
      <c r="B33" s="2" t="s">
        <v>51</v>
      </c>
      <c r="C33" s="2" t="s">
        <v>12</v>
      </c>
      <c r="D33" s="3" t="s">
        <v>52</v>
      </c>
      <c r="E33" s="3" t="s">
        <v>130</v>
      </c>
      <c r="F33" s="2" t="s">
        <v>131</v>
      </c>
      <c r="G33" s="2" t="s">
        <v>12</v>
      </c>
      <c r="H33" s="4">
        <v>42272</v>
      </c>
      <c r="I33" s="2">
        <v>12</v>
      </c>
      <c r="J33" s="4">
        <v>42638</v>
      </c>
      <c r="K33" s="5" t="s">
        <v>206</v>
      </c>
      <c r="L33" s="2" t="s">
        <v>198</v>
      </c>
    </row>
    <row r="34" spans="1:12" ht="12.6" customHeight="1" x14ac:dyDescent="0.4">
      <c r="A34" s="13">
        <v>33</v>
      </c>
      <c r="B34" s="2" t="s">
        <v>9</v>
      </c>
      <c r="C34" s="2" t="s">
        <v>10</v>
      </c>
      <c r="D34" s="3" t="s">
        <v>11</v>
      </c>
      <c r="E34" s="3" t="s">
        <v>134</v>
      </c>
      <c r="F34" s="2" t="s">
        <v>135</v>
      </c>
      <c r="G34" s="2" t="s">
        <v>1</v>
      </c>
      <c r="H34" s="4">
        <v>42235</v>
      </c>
      <c r="I34" s="2">
        <v>12</v>
      </c>
      <c r="J34" s="4">
        <v>42601</v>
      </c>
      <c r="K34" s="2" t="s">
        <v>195</v>
      </c>
      <c r="L34" s="2" t="s">
        <v>198</v>
      </c>
    </row>
    <row r="35" spans="1:12" ht="12.6" customHeight="1" x14ac:dyDescent="0.4">
      <c r="A35" s="13">
        <v>34</v>
      </c>
      <c r="B35" s="2" t="s">
        <v>9</v>
      </c>
      <c r="C35" s="2" t="s">
        <v>10</v>
      </c>
      <c r="D35" s="3" t="s">
        <v>11</v>
      </c>
      <c r="E35" s="3" t="s">
        <v>146</v>
      </c>
      <c r="F35" s="2" t="s">
        <v>147</v>
      </c>
      <c r="G35" s="2" t="s">
        <v>1</v>
      </c>
      <c r="H35" s="4">
        <v>42240</v>
      </c>
      <c r="I35" s="2">
        <v>12</v>
      </c>
      <c r="J35" s="4">
        <v>42606</v>
      </c>
      <c r="K35" s="2" t="s">
        <v>195</v>
      </c>
      <c r="L35" s="2" t="s">
        <v>198</v>
      </c>
    </row>
    <row r="36" spans="1:12" ht="12.6" customHeight="1" x14ac:dyDescent="0.4">
      <c r="A36" s="13">
        <v>35</v>
      </c>
      <c r="B36" s="2" t="s">
        <v>5</v>
      </c>
      <c r="C36" s="2" t="s">
        <v>6</v>
      </c>
      <c r="D36" s="3" t="s">
        <v>7</v>
      </c>
      <c r="E36" s="3" t="s">
        <v>128</v>
      </c>
      <c r="F36" s="2" t="s">
        <v>129</v>
      </c>
      <c r="G36" s="2" t="s">
        <v>1</v>
      </c>
      <c r="H36" s="4">
        <v>42234</v>
      </c>
      <c r="I36" s="2">
        <v>12</v>
      </c>
      <c r="J36" s="4">
        <v>42600</v>
      </c>
      <c r="K36" s="2" t="s">
        <v>194</v>
      </c>
      <c r="L36" s="2" t="s">
        <v>198</v>
      </c>
    </row>
    <row r="37" spans="1:12" ht="12.6" customHeight="1" x14ac:dyDescent="0.4">
      <c r="A37" s="13">
        <v>36</v>
      </c>
      <c r="B37" s="2" t="s">
        <v>5</v>
      </c>
      <c r="C37" s="2" t="s">
        <v>6</v>
      </c>
      <c r="D37" s="3" t="s">
        <v>7</v>
      </c>
      <c r="E37" s="3" t="s">
        <v>36</v>
      </c>
      <c r="F37" s="2" t="s">
        <v>37</v>
      </c>
      <c r="G37" s="2" t="s">
        <v>1</v>
      </c>
      <c r="H37" s="4">
        <v>42234</v>
      </c>
      <c r="I37" s="2">
        <v>12</v>
      </c>
      <c r="J37" s="4">
        <v>42600</v>
      </c>
      <c r="K37" s="2" t="s">
        <v>194</v>
      </c>
      <c r="L37" s="2" t="s">
        <v>198</v>
      </c>
    </row>
    <row r="38" spans="1:12" ht="12.6" customHeight="1" x14ac:dyDescent="0.4">
      <c r="A38" s="13">
        <v>37</v>
      </c>
      <c r="B38" s="2" t="s">
        <v>28</v>
      </c>
      <c r="C38" s="2" t="s">
        <v>12</v>
      </c>
      <c r="D38" s="3" t="s">
        <v>29</v>
      </c>
      <c r="E38" s="3" t="s">
        <v>30</v>
      </c>
      <c r="F38" s="2" t="s">
        <v>31</v>
      </c>
      <c r="G38" s="2" t="s">
        <v>186</v>
      </c>
      <c r="H38" s="7" t="s">
        <v>186</v>
      </c>
      <c r="I38" s="7" t="s">
        <v>186</v>
      </c>
      <c r="J38" s="7" t="s">
        <v>186</v>
      </c>
      <c r="K38" s="2"/>
      <c r="L38" s="2" t="s">
        <v>198</v>
      </c>
    </row>
    <row r="39" spans="1:12" ht="12.6" customHeight="1" x14ac:dyDescent="0.4">
      <c r="A39" s="13">
        <v>38</v>
      </c>
      <c r="B39" s="2" t="s">
        <v>28</v>
      </c>
      <c r="C39" s="2" t="s">
        <v>12</v>
      </c>
      <c r="D39" s="3" t="s">
        <v>29</v>
      </c>
      <c r="E39" s="3" t="s">
        <v>118</v>
      </c>
      <c r="F39" s="2" t="s">
        <v>119</v>
      </c>
      <c r="G39" s="2" t="s">
        <v>186</v>
      </c>
      <c r="H39" s="7" t="s">
        <v>186</v>
      </c>
      <c r="I39" s="7" t="s">
        <v>186</v>
      </c>
      <c r="J39" s="7" t="s">
        <v>186</v>
      </c>
      <c r="K39" s="2"/>
      <c r="L39" s="2" t="s">
        <v>198</v>
      </c>
    </row>
    <row r="40" spans="1:12" ht="12.6" customHeight="1" x14ac:dyDescent="0.4">
      <c r="A40" s="13">
        <v>39</v>
      </c>
      <c r="B40" s="2" t="s">
        <v>8</v>
      </c>
      <c r="C40" s="2" t="s">
        <v>12</v>
      </c>
      <c r="D40" s="3" t="s">
        <v>102</v>
      </c>
      <c r="E40" s="3" t="s">
        <v>148</v>
      </c>
      <c r="F40" s="2" t="s">
        <v>149</v>
      </c>
      <c r="G40" s="2" t="s">
        <v>12</v>
      </c>
      <c r="H40" s="4">
        <v>42264</v>
      </c>
      <c r="I40" s="2">
        <v>12</v>
      </c>
      <c r="J40" s="4">
        <v>42630</v>
      </c>
      <c r="K40" s="2" t="s">
        <v>105</v>
      </c>
      <c r="L40" s="2" t="s">
        <v>198</v>
      </c>
    </row>
    <row r="41" spans="1:12" ht="12.6" customHeight="1" x14ac:dyDescent="0.4">
      <c r="A41" s="13">
        <v>40</v>
      </c>
      <c r="B41" s="2" t="s">
        <v>8</v>
      </c>
      <c r="C41" s="2" t="s">
        <v>12</v>
      </c>
      <c r="D41" s="3" t="s">
        <v>150</v>
      </c>
      <c r="E41" s="3" t="s">
        <v>151</v>
      </c>
      <c r="F41" s="2" t="s">
        <v>152</v>
      </c>
      <c r="G41" s="2" t="s">
        <v>12</v>
      </c>
      <c r="H41" s="4">
        <v>42013</v>
      </c>
      <c r="I41" s="2">
        <v>12</v>
      </c>
      <c r="J41" s="4">
        <v>42378</v>
      </c>
      <c r="K41" s="2" t="s">
        <v>153</v>
      </c>
      <c r="L41" s="2" t="s">
        <v>198</v>
      </c>
    </row>
    <row r="42" spans="1:12" ht="12.6" customHeight="1" x14ac:dyDescent="0.4">
      <c r="A42" s="13">
        <v>41</v>
      </c>
      <c r="B42" s="2" t="s">
        <v>8</v>
      </c>
      <c r="C42" s="2" t="s">
        <v>12</v>
      </c>
      <c r="D42" s="3" t="s">
        <v>120</v>
      </c>
      <c r="E42" s="3" t="s">
        <v>154</v>
      </c>
      <c r="F42" s="2" t="s">
        <v>155</v>
      </c>
      <c r="G42" s="2" t="s">
        <v>12</v>
      </c>
      <c r="H42" s="4">
        <v>42041</v>
      </c>
      <c r="I42" s="2">
        <v>12</v>
      </c>
      <c r="J42" s="4">
        <v>42406</v>
      </c>
      <c r="K42" s="2" t="s">
        <v>123</v>
      </c>
      <c r="L42" s="2" t="s">
        <v>198</v>
      </c>
    </row>
    <row r="43" spans="1:12" ht="12.6" customHeight="1" x14ac:dyDescent="0.4">
      <c r="A43" s="13">
        <v>42</v>
      </c>
      <c r="B43" s="2" t="s">
        <v>8</v>
      </c>
      <c r="C43" s="2" t="s">
        <v>12</v>
      </c>
      <c r="D43" s="3" t="s">
        <v>115</v>
      </c>
      <c r="E43" s="3" t="s">
        <v>156</v>
      </c>
      <c r="F43" s="2" t="s">
        <v>157</v>
      </c>
      <c r="G43" s="2" t="s">
        <v>12</v>
      </c>
      <c r="H43" s="4">
        <v>42040</v>
      </c>
      <c r="I43" s="2">
        <v>12</v>
      </c>
      <c r="J43" s="4">
        <v>42405</v>
      </c>
      <c r="K43" s="2" t="s">
        <v>50</v>
      </c>
      <c r="L43" s="2" t="s">
        <v>198</v>
      </c>
    </row>
    <row r="44" spans="1:12" ht="12.6" customHeight="1" x14ac:dyDescent="0.4">
      <c r="A44" s="13">
        <v>43</v>
      </c>
      <c r="B44" s="2" t="s">
        <v>8</v>
      </c>
      <c r="C44" s="2" t="s">
        <v>12</v>
      </c>
      <c r="D44" s="3" t="s">
        <v>161</v>
      </c>
      <c r="E44" s="3" t="s">
        <v>162</v>
      </c>
      <c r="F44" s="2" t="s">
        <v>163</v>
      </c>
      <c r="G44" s="2" t="s">
        <v>12</v>
      </c>
      <c r="H44" s="4">
        <v>42326</v>
      </c>
      <c r="I44" s="2">
        <v>12</v>
      </c>
      <c r="J44" s="4">
        <v>42692</v>
      </c>
      <c r="K44" s="2" t="s">
        <v>164</v>
      </c>
      <c r="L44" s="2" t="s">
        <v>198</v>
      </c>
    </row>
    <row r="45" spans="1:12" ht="12.6" customHeight="1" x14ac:dyDescent="0.4">
      <c r="A45" s="13">
        <v>44</v>
      </c>
      <c r="B45" s="2" t="s">
        <v>8</v>
      </c>
      <c r="C45" s="2" t="s">
        <v>12</v>
      </c>
      <c r="D45" s="3" t="s">
        <v>47</v>
      </c>
      <c r="E45" s="3" t="s">
        <v>158</v>
      </c>
      <c r="F45" s="2" t="s">
        <v>159</v>
      </c>
      <c r="G45" s="2" t="s">
        <v>12</v>
      </c>
      <c r="H45" s="4">
        <v>42045</v>
      </c>
      <c r="I45" s="2">
        <v>12</v>
      </c>
      <c r="J45" s="4">
        <v>42410</v>
      </c>
      <c r="K45" s="2" t="s">
        <v>160</v>
      </c>
      <c r="L45" s="2" t="s">
        <v>198</v>
      </c>
    </row>
    <row r="46" spans="1:12" ht="12.6" customHeight="1" x14ac:dyDescent="0.4">
      <c r="A46" s="13">
        <v>45</v>
      </c>
      <c r="B46" s="2" t="s">
        <v>38</v>
      </c>
      <c r="C46" s="2" t="s">
        <v>12</v>
      </c>
      <c r="D46" s="3" t="s">
        <v>39</v>
      </c>
      <c r="E46" s="3" t="s">
        <v>202</v>
      </c>
      <c r="F46" s="2" t="s">
        <v>165</v>
      </c>
      <c r="G46" s="2" t="s">
        <v>12</v>
      </c>
      <c r="H46" s="4">
        <v>42262</v>
      </c>
      <c r="I46" s="2">
        <v>12</v>
      </c>
      <c r="J46" s="4">
        <v>42628</v>
      </c>
      <c r="K46" s="2" t="s">
        <v>42</v>
      </c>
      <c r="L46" s="2" t="s">
        <v>198</v>
      </c>
    </row>
    <row r="47" spans="1:12" x14ac:dyDescent="0.4">
      <c r="A47" s="13">
        <v>46</v>
      </c>
      <c r="B47" s="2" t="s">
        <v>51</v>
      </c>
      <c r="C47" s="2" t="s">
        <v>12</v>
      </c>
      <c r="D47" s="3" t="s">
        <v>52</v>
      </c>
      <c r="E47" s="3" t="s">
        <v>166</v>
      </c>
      <c r="F47" s="2" t="s">
        <v>167</v>
      </c>
      <c r="G47" s="2" t="s">
        <v>12</v>
      </c>
      <c r="H47" s="4">
        <v>42249</v>
      </c>
      <c r="I47" s="2">
        <v>12</v>
      </c>
      <c r="J47" s="4">
        <v>42615</v>
      </c>
      <c r="K47" s="5" t="s">
        <v>206</v>
      </c>
      <c r="L47" s="2" t="s">
        <v>198</v>
      </c>
    </row>
    <row r="48" spans="1:12" x14ac:dyDescent="0.4">
      <c r="A48" s="13">
        <v>47</v>
      </c>
      <c r="B48" s="2" t="s">
        <v>51</v>
      </c>
      <c r="C48" s="2" t="s">
        <v>12</v>
      </c>
      <c r="D48" s="3" t="s">
        <v>52</v>
      </c>
      <c r="E48" s="3" t="s">
        <v>168</v>
      </c>
      <c r="F48" s="2" t="s">
        <v>169</v>
      </c>
      <c r="G48" s="2" t="s">
        <v>12</v>
      </c>
      <c r="H48" s="4">
        <v>42047</v>
      </c>
      <c r="I48" s="2">
        <v>12</v>
      </c>
      <c r="J48" s="4">
        <v>42412</v>
      </c>
      <c r="K48" s="5" t="s">
        <v>206</v>
      </c>
      <c r="L48" s="2" t="s">
        <v>198</v>
      </c>
    </row>
    <row r="49" spans="1:12" ht="12.6" customHeight="1" x14ac:dyDescent="0.4">
      <c r="A49" s="13">
        <v>48</v>
      </c>
      <c r="B49" s="2" t="s">
        <v>28</v>
      </c>
      <c r="C49" s="2" t="s">
        <v>12</v>
      </c>
      <c r="D49" s="3" t="s">
        <v>29</v>
      </c>
      <c r="E49" s="3" t="s">
        <v>170</v>
      </c>
      <c r="F49" s="2" t="s">
        <v>171</v>
      </c>
      <c r="G49" s="2" t="s">
        <v>186</v>
      </c>
      <c r="H49" s="7" t="s">
        <v>186</v>
      </c>
      <c r="I49" s="7" t="s">
        <v>186</v>
      </c>
      <c r="J49" s="7" t="s">
        <v>186</v>
      </c>
      <c r="K49" s="2"/>
      <c r="L49" s="2" t="s">
        <v>198</v>
      </c>
    </row>
    <row r="50" spans="1:12" ht="12.6" customHeight="1" x14ac:dyDescent="0.4">
      <c r="A50" s="13">
        <v>49</v>
      </c>
      <c r="B50" s="2" t="s">
        <v>9</v>
      </c>
      <c r="C50" s="2" t="s">
        <v>10</v>
      </c>
      <c r="D50" s="3" t="s">
        <v>11</v>
      </c>
      <c r="E50" s="3" t="s">
        <v>172</v>
      </c>
      <c r="F50" s="2" t="s">
        <v>173</v>
      </c>
      <c r="G50" s="2" t="s">
        <v>1</v>
      </c>
      <c r="H50" s="4">
        <v>42228</v>
      </c>
      <c r="I50" s="2">
        <v>12</v>
      </c>
      <c r="J50" s="4">
        <v>42594</v>
      </c>
      <c r="K50" s="2" t="s">
        <v>195</v>
      </c>
      <c r="L50" s="2" t="s">
        <v>198</v>
      </c>
    </row>
    <row r="51" spans="1:12" ht="12.6" customHeight="1" x14ac:dyDescent="0.4">
      <c r="A51" s="13">
        <v>50</v>
      </c>
      <c r="B51" s="2" t="s">
        <v>9</v>
      </c>
      <c r="C51" s="2" t="s">
        <v>10</v>
      </c>
      <c r="D51" s="3" t="s">
        <v>11</v>
      </c>
      <c r="E51" s="3" t="s">
        <v>174</v>
      </c>
      <c r="F51" s="2" t="s">
        <v>175</v>
      </c>
      <c r="G51" s="2" t="s">
        <v>1</v>
      </c>
      <c r="H51" s="4">
        <v>42228</v>
      </c>
      <c r="I51" s="2">
        <v>12</v>
      </c>
      <c r="J51" s="4">
        <v>42594</v>
      </c>
      <c r="K51" s="2" t="s">
        <v>195</v>
      </c>
      <c r="L51" s="2" t="s">
        <v>198</v>
      </c>
    </row>
    <row r="52" spans="1:12" ht="12.6" customHeight="1" x14ac:dyDescent="0.4">
      <c r="A52" s="13">
        <v>51</v>
      </c>
      <c r="B52" s="2" t="s">
        <v>176</v>
      </c>
      <c r="C52" s="2" t="s">
        <v>0</v>
      </c>
      <c r="D52" s="3" t="s">
        <v>177</v>
      </c>
      <c r="E52" s="3" t="s">
        <v>178</v>
      </c>
      <c r="F52" s="2" t="s">
        <v>179</v>
      </c>
      <c r="G52" s="2" t="s">
        <v>1</v>
      </c>
      <c r="H52" s="4">
        <v>42282</v>
      </c>
      <c r="I52" s="2">
        <v>12</v>
      </c>
      <c r="J52" s="4">
        <v>42648</v>
      </c>
      <c r="K52" s="2" t="s">
        <v>197</v>
      </c>
      <c r="L52" s="2" t="s">
        <v>198</v>
      </c>
    </row>
  </sheetData>
  <autoFilter ref="B1:L52" xr:uid="{00000000-0009-0000-0000-000001000000}"/>
  <phoneticPr fontId="9" type="noConversion"/>
  <pageMargins left="0" right="0" top="0.75" bottom="0.75" header="0.3" footer="0.3"/>
  <pageSetup orientation="landscape" r:id="rId1"/>
  <ignoredErrors>
    <ignoredError sqref="C7:E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시험설비 관리대장</vt:lpstr>
      <vt:lpstr>SAR list</vt:lpstr>
      <vt:lpstr>'SAR list'!_FilterDatabase</vt:lpstr>
      <vt:lpstr>'시험설비 관리대장'!Print_Area</vt:lpstr>
      <vt:lpstr>'시험설비 관리대장'!Print_Titles</vt:lpstr>
    </vt:vector>
  </TitlesOfParts>
  <Company>Underwriters Laboratories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Seo, DoYoung</dc:creator>
  <cp:lastModifiedBy>Kwon, Myeongjun</cp:lastModifiedBy>
  <cp:lastPrinted>2023-10-30T07:46:36Z</cp:lastPrinted>
  <dcterms:created xsi:type="dcterms:W3CDTF">2015-12-09T22:18:14Z</dcterms:created>
  <dcterms:modified xsi:type="dcterms:W3CDTF">2025-03-18T23:20:43Z</dcterms:modified>
</cp:coreProperties>
</file>